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2FAC600-0653-4FE5-9940-545A0FFF7D82}" xr6:coauthVersionLast="47" xr6:coauthVersionMax="47" xr10:uidLastSave="{00000000-0000-0000-0000-000000000000}"/>
  <bookViews>
    <workbookView xWindow="-19320" yWindow="-120" windowWidth="19440" windowHeight="15600" tabRatio="500" xr2:uid="{00000000-000D-0000-FFFF-FFFF00000000}"/>
  </bookViews>
  <sheets>
    <sheet name="Parametros" sheetId="1" r:id="rId1"/>
    <sheet name="Datos" sheetId="2" r:id="rId2"/>
    <sheet name="Metrica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3" l="1"/>
  <c r="B41" i="3"/>
  <c r="B40" i="3"/>
  <c r="B43" i="3" s="1"/>
  <c r="B44" i="3" s="1"/>
  <c r="D35" i="3"/>
  <c r="B35" i="3"/>
  <c r="C35" i="3" s="1"/>
  <c r="B34" i="3"/>
  <c r="B33" i="3"/>
  <c r="B32" i="3"/>
  <c r="B31" i="3"/>
  <c r="B25" i="3"/>
  <c r="C25" i="3" s="1"/>
  <c r="B24" i="3"/>
  <c r="C24" i="3" s="1"/>
  <c r="B23" i="3"/>
  <c r="B17" i="3"/>
  <c r="C17" i="3" s="1"/>
  <c r="B16" i="3"/>
  <c r="C16" i="3" s="1"/>
  <c r="B15" i="3"/>
  <c r="C15" i="3" s="1"/>
  <c r="B14" i="3"/>
  <c r="C14" i="3" s="1"/>
  <c r="B13" i="3"/>
  <c r="C13" i="3" s="1"/>
  <c r="B12" i="3"/>
  <c r="B6" i="3"/>
  <c r="B5" i="3"/>
  <c r="D34" i="3" l="1"/>
  <c r="C34" i="3"/>
  <c r="C33" i="3"/>
  <c r="D33" i="3"/>
  <c r="D32" i="3"/>
  <c r="C32" i="3"/>
  <c r="B36" i="3"/>
  <c r="D31" i="3"/>
  <c r="C31" i="3"/>
  <c r="B26" i="3"/>
  <c r="C23" i="3"/>
  <c r="B18" i="3"/>
  <c r="C12" i="3"/>
  <c r="B45" i="3"/>
  <c r="B7" i="3"/>
</calcChain>
</file>

<file path=xl/sharedStrings.xml><?xml version="1.0" encoding="utf-8"?>
<sst xmlns="http://schemas.openxmlformats.org/spreadsheetml/2006/main" count="271" uniqueCount="127">
  <si>
    <t>HOJA DE MÉTRICAS DE LA INSPECCIÓN FAGAN — PE4 · ERS SIMPA v3.0</t>
  </si>
  <si>
    <t>Equipo B · ISR-401 · UTEQ. Todas las métricas de la hoja "Metricas" se calculan con fórmulas a partir de estas dos hojas.</t>
  </si>
  <si>
    <t>Alcance inspeccionado</t>
  </si>
  <si>
    <t>§1 a §7 del ERS (pp. 8–70); apéndices A–E excluidos</t>
  </si>
  <si>
    <t>Páginas efectivas inspeccionadas</t>
  </si>
  <si>
    <t>Número de inspectores</t>
  </si>
  <si>
    <t>ESFUERZO EN HORAS-PERSONA</t>
  </si>
  <si>
    <t>Preparación individual — Moderador</t>
  </si>
  <si>
    <t>Preparación individual — Lector</t>
  </si>
  <si>
    <t>Preparación individual — Inspector 1</t>
  </si>
  <si>
    <t>Preparación individual — Inspector 2</t>
  </si>
  <si>
    <t>Duración de la reunión (horas)</t>
  </si>
  <si>
    <t>Personas presentes en la reunión</t>
  </si>
  <si>
    <t>Planificación y consolidación (horas del Moderador)</t>
  </si>
  <si>
    <t>DEFECTOS CONSOLIDADOS EN LA REUNIÓN</t>
  </si>
  <si>
    <t>N.º</t>
  </si>
  <si>
    <t>Tipo</t>
  </si>
  <si>
    <t>Severidad</t>
  </si>
  <si>
    <t>Detectado por (rol)</t>
  </si>
  <si>
    <t>Detectado por (nombre)</t>
  </si>
  <si>
    <t>Requisito afectado</t>
  </si>
  <si>
    <t>DEF-01</t>
  </si>
  <si>
    <t>Consistencia</t>
  </si>
  <si>
    <t>Mayor</t>
  </si>
  <si>
    <t>Moderador</t>
  </si>
  <si>
    <t>RD-01 a RD-10</t>
  </si>
  <si>
    <t>DEF-02</t>
  </si>
  <si>
    <t>Crítico</t>
  </si>
  <si>
    <t>Inspector 2</t>
  </si>
  <si>
    <t>Todos los RF</t>
  </si>
  <si>
    <t>DEF-03</t>
  </si>
  <si>
    <t>RF-36 a RF-39</t>
  </si>
  <si>
    <t>DEF-04</t>
  </si>
  <si>
    <t>Matriz completa</t>
  </si>
  <si>
    <t>DEF-05</t>
  </si>
  <si>
    <t>§3.2 completa</t>
  </si>
  <si>
    <t>DEF-06</t>
  </si>
  <si>
    <t>RD-01, RD-10, RF-35</t>
  </si>
  <si>
    <t>DEF-07</t>
  </si>
  <si>
    <t>RD-02</t>
  </si>
  <si>
    <t>DEF-08</t>
  </si>
  <si>
    <t>Libre</t>
  </si>
  <si>
    <t>RF-29</t>
  </si>
  <si>
    <t>DEF-09</t>
  </si>
  <si>
    <t>RF-36, RF-37</t>
  </si>
  <si>
    <t>DEF-10</t>
  </si>
  <si>
    <t>RF-05, RF-30</t>
  </si>
  <si>
    <t>DEF-11</t>
  </si>
  <si>
    <t>RF-10</t>
  </si>
  <si>
    <t>DEF-12</t>
  </si>
  <si>
    <t>Completitud</t>
  </si>
  <si>
    <t>RL-04, RL-05, RL-06</t>
  </si>
  <si>
    <t>DEF-13</t>
  </si>
  <si>
    <t>DEF-14</t>
  </si>
  <si>
    <t>Menor</t>
  </si>
  <si>
    <t>DEF-15</t>
  </si>
  <si>
    <t>—</t>
  </si>
  <si>
    <t>DEF-16</t>
  </si>
  <si>
    <t>Inspector 1</t>
  </si>
  <si>
    <t>RNF-17, RNF-18</t>
  </si>
  <si>
    <t>DEF-17</t>
  </si>
  <si>
    <t>Verificabilidad</t>
  </si>
  <si>
    <t>Lector</t>
  </si>
  <si>
    <t>RF-12</t>
  </si>
  <si>
    <t>DEF-18</t>
  </si>
  <si>
    <t>RF-16</t>
  </si>
  <si>
    <t>DEF-19</t>
  </si>
  <si>
    <t>RF-18</t>
  </si>
  <si>
    <t>DEF-20</t>
  </si>
  <si>
    <t>RNF-10</t>
  </si>
  <si>
    <t>DEF-21</t>
  </si>
  <si>
    <t>RNF-03</t>
  </si>
  <si>
    <t>DEF-22</t>
  </si>
  <si>
    <t>Ambigüedad</t>
  </si>
  <si>
    <t>RF-07, RF-08, RF-21</t>
  </si>
  <si>
    <t>DEF-23</t>
  </si>
  <si>
    <t>RF-22</t>
  </si>
  <si>
    <t>DEF-24</t>
  </si>
  <si>
    <t>RF-25, RD-08</t>
  </si>
  <si>
    <t>DEF-25</t>
  </si>
  <si>
    <t>RF-09</t>
  </si>
  <si>
    <t>DEF-26</t>
  </si>
  <si>
    <t>Trazabilidad</t>
  </si>
  <si>
    <t>RF-16, RF-17, RF-20</t>
  </si>
  <si>
    <t>DEF-27</t>
  </si>
  <si>
    <t>RF-29, RF-36 a RF-39</t>
  </si>
  <si>
    <t>DEF-28</t>
  </si>
  <si>
    <t>DEF-29</t>
  </si>
  <si>
    <t>DEF-30</t>
  </si>
  <si>
    <t>Factibilidad</t>
  </si>
  <si>
    <t>RNF-01, RNF-02</t>
  </si>
  <si>
    <t>DEF-31</t>
  </si>
  <si>
    <t>RF-14, RNF-05</t>
  </si>
  <si>
    <t>DEF-32</t>
  </si>
  <si>
    <t>DEF-33</t>
  </si>
  <si>
    <t>RF-15, RF-20</t>
  </si>
  <si>
    <t>LAS CINCO MÉTRICAS DE INSPECCIÓN EXIGIDAS POR LA GUÍA PE4</t>
  </si>
  <si>
    <t>MÉTRICA 1 — Densidad de defectos</t>
  </si>
  <si>
    <t>Defectos confirmados</t>
  </si>
  <si>
    <t>Páginas efectivas</t>
  </si>
  <si>
    <t>Densidad (defectos / página)</t>
  </si>
  <si>
    <t>Interpretación (1 oración):</t>
  </si>
  <si>
    <t>MÉTRICA 2 — Distribución por tipo de defecto</t>
  </si>
  <si>
    <t>Cantidad</t>
  </si>
  <si>
    <t>% del total</t>
  </si>
  <si>
    <t>Total</t>
  </si>
  <si>
    <t>MÉTRICA 3 — Distribución por severidad</t>
  </si>
  <si>
    <t>Críticos + mayores</t>
  </si>
  <si>
    <t>MÉTRICA 4 — Tasa de detección por inspector</t>
  </si>
  <si>
    <t>Rol</t>
  </si>
  <si>
    <t>Defectos</t>
  </si>
  <si>
    <t>Cumple el mínimo de 6</t>
  </si>
  <si>
    <t>MÉTRICA 5 — Esfuerzo total en horas-persona</t>
  </si>
  <si>
    <t>Preparación individual (suma de los 4 inspectores)</t>
  </si>
  <si>
    <t>Reunión de inspección (duración × asistentes)</t>
  </si>
  <si>
    <t>Planificación y consolidación</t>
  </si>
  <si>
    <t>Esfuerzo total (horas-persona)</t>
  </si>
  <si>
    <t>Horas-persona por defecto detectado</t>
  </si>
  <si>
    <t>Defectos detectados por hora-persona</t>
  </si>
  <si>
    <t>Rizzo</t>
  </si>
  <si>
    <t>Mora</t>
  </si>
  <si>
    <t>Villafuerte</t>
  </si>
  <si>
    <t>Con 0,52 defectos por página, la inspección detectó un nivel moderado de errores en las 63 páginas efectivas revisadas.</t>
  </si>
  <si>
    <t>La consistencia (33,3%) y la completitud (18,2%) son los tipos de defecto más frecuentes, lo que sugiere que el documento tiene problemas principalmente de coherencia interna y de información faltante.</t>
  </si>
  <si>
    <t>El 72,7% de los defectos son de severidad mayor y, sumados a los críticos, representan el 84,8% del total (28 de 33), indicando que la mayoría de los hallazgos requieren corrección antes de aprobar el documento.</t>
  </si>
  <si>
    <t>Todos los roles evaluados (moderador, lector, inspector 1 e inspector 2) cumplieron con el mínimo de 6 defectos detectados, mostrando una participación equilibrada y efectiva del equipo.</t>
  </si>
  <si>
    <t>Con 13 horas-persona invertidas y 2,54 defectos detectados por hora-persona, la inspección fue relativamente eficiente en términos de costo-beneficio del esfuerzo dedicado.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</si>
</sst>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Times New Roman"/>
      <charset val="1"/>
    </font>
    <font>
      <i/>
      <sz val="9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b/>
      <sz val="12"/>
      <name val="Times New Roman"/>
      <charset val="1"/>
    </font>
    <font>
      <sz val="9"/>
      <name val="Times New Roman"/>
      <charset val="1"/>
    </font>
    <font>
      <b/>
      <sz val="11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4" fillId="3" borderId="1" xfId="0" applyFont="1" applyFill="1" applyBorder="1" applyAlignment="1">
      <alignment horizontal="center" wrapText="1"/>
    </xf>
    <xf numFmtId="0" fontId="6" fillId="0" borderId="1" xfId="0" applyFont="1" applyBorder="1"/>
    <xf numFmtId="0" fontId="6" fillId="2" borderId="1" xfId="0" applyFont="1" applyFill="1" applyBorder="1"/>
    <xf numFmtId="0" fontId="7" fillId="3" borderId="0" xfId="0" applyFont="1" applyFill="1"/>
    <xf numFmtId="0" fontId="0" fillId="3" borderId="0" xfId="0" applyFill="1"/>
    <xf numFmtId="0" fontId="4" fillId="0" borderId="1" xfId="0" applyFont="1" applyBorder="1"/>
    <xf numFmtId="2" fontId="4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1" xfId="0" applyNumberFormat="1" applyFont="1" applyBorder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Distribución de defectos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Metricas!$B$11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Metricas!$A$12:$A$17</c:f>
              <c:strCache>
                <c:ptCount val="6"/>
                <c:pt idx="0">
                  <c:v>Ambigüedad</c:v>
                </c:pt>
                <c:pt idx="1">
                  <c:v>Completitud</c:v>
                </c:pt>
                <c:pt idx="2">
                  <c:v>Consistencia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Metricas!$B$12:$B$17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11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E-4032-92B9-61E30F73A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67411"/>
        <c:axId val="27538989"/>
      </c:barChart>
      <c:catAx>
        <c:axId val="502674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27538989"/>
        <c:crosses val="autoZero"/>
        <c:auto val="1"/>
        <c:lblAlgn val="ctr"/>
        <c:lblOffset val="100"/>
        <c:noMultiLvlLbl val="0"/>
      </c:catAx>
      <c:valAx>
        <c:axId val="27538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502674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Distribución de defectos por severidad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Metricas!$B$22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6EF-40C6-AF12-11D4327D8BA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6EF-40C6-AF12-11D4327D8BA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6EF-40C6-AF12-11D4327D8BA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F-40C6-AF12-11D4327D8BA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F-40C6-AF12-11D4327D8BA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F-40C6-AF12-11D4327D8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Metricas!$A$23:$A$25</c:f>
              <c:strCache>
                <c:ptCount val="3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Metricas!$B$23:$B$25</c:f>
              <c:numCache>
                <c:formatCode>General</c:formatCode>
                <c:ptCount val="3"/>
                <c:pt idx="0">
                  <c:v>4</c:v>
                </c:pt>
                <c:pt idx="1">
                  <c:v>24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EF-40C6-AF12-11D4327D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Tasa de detección por inspector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Metricas!$B$30</c:f>
              <c:strCache>
                <c:ptCount val="1"/>
                <c:pt idx="0">
                  <c:v>Defectos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Metricas!$A$31:$A$35</c:f>
              <c:strCache>
                <c:ptCount val="5"/>
                <c:pt idx="0">
                  <c:v>Moderador</c:v>
                </c:pt>
                <c:pt idx="1">
                  <c:v>Lector</c:v>
                </c:pt>
                <c:pt idx="2">
                  <c:v>Inspector 1</c:v>
                </c:pt>
                <c:pt idx="3">
                  <c:v>Inspector 2</c:v>
                </c:pt>
                <c:pt idx="4">
                  <c:v>Libre</c:v>
                </c:pt>
              </c:strCache>
            </c:strRef>
          </c:cat>
          <c:val>
            <c:numRef>
              <c:f>Metricas!$B$31:$B$35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9-4E30-AD29-272E834BE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431548"/>
        <c:axId val="56550629"/>
      </c:barChart>
      <c:catAx>
        <c:axId val="854315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56550629"/>
        <c:crosses val="autoZero"/>
        <c:auto val="1"/>
        <c:lblAlgn val="ctr"/>
        <c:lblOffset val="100"/>
        <c:noMultiLvlLbl val="0"/>
      </c:catAx>
      <c:valAx>
        <c:axId val="565506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854315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176040</xdr:rowOff>
    </xdr:from>
    <xdr:to>
      <xdr:col>12</xdr:col>
      <xdr:colOff>398880</xdr:colOff>
      <xdr:row>16</xdr:row>
      <xdr:rowOff>18360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176040</xdr:rowOff>
    </xdr:from>
    <xdr:to>
      <xdr:col>12</xdr:col>
      <xdr:colOff>398880</xdr:colOff>
      <xdr:row>33</xdr:row>
      <xdr:rowOff>18000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36</xdr:row>
      <xdr:rowOff>366480</xdr:rowOff>
    </xdr:from>
    <xdr:to>
      <xdr:col>12</xdr:col>
      <xdr:colOff>398880</xdr:colOff>
      <xdr:row>50</xdr:row>
      <xdr:rowOff>18000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Normal="100" workbookViewId="0">
      <selection activeCell="C13" sqref="C13"/>
    </sheetView>
  </sheetViews>
  <sheetFormatPr baseColWidth="10" defaultColWidth="8.7109375" defaultRowHeight="15" x14ac:dyDescent="0.25"/>
  <cols>
    <col min="1" max="1" width="46" customWidth="1"/>
    <col min="2" max="2" width="14" customWidth="1"/>
    <col min="3" max="3" width="25.7109375" customWidth="1"/>
  </cols>
  <sheetData>
    <row r="1" spans="1:3" ht="16.5" x14ac:dyDescent="0.25">
      <c r="A1" s="2" t="s">
        <v>0</v>
      </c>
    </row>
    <row r="2" spans="1:3" x14ac:dyDescent="0.25">
      <c r="A2" s="3" t="s">
        <v>1</v>
      </c>
    </row>
    <row r="4" spans="1:3" x14ac:dyDescent="0.25">
      <c r="A4" s="4" t="s">
        <v>2</v>
      </c>
      <c r="B4" s="4" t="s">
        <v>3</v>
      </c>
      <c r="C4" s="1"/>
    </row>
    <row r="5" spans="1:3" x14ac:dyDescent="0.25">
      <c r="A5" s="4" t="s">
        <v>4</v>
      </c>
      <c r="B5" s="5">
        <v>63</v>
      </c>
      <c r="C5" s="1"/>
    </row>
    <row r="6" spans="1:3" x14ac:dyDescent="0.25">
      <c r="A6" s="4" t="s">
        <v>5</v>
      </c>
      <c r="B6" s="5">
        <v>3</v>
      </c>
      <c r="C6" s="1"/>
    </row>
    <row r="7" spans="1:3" x14ac:dyDescent="0.25">
      <c r="A7" s="4"/>
      <c r="B7" s="4"/>
      <c r="C7" s="1"/>
    </row>
    <row r="8" spans="1:3" x14ac:dyDescent="0.25">
      <c r="A8" s="6" t="s">
        <v>6</v>
      </c>
      <c r="B8" s="4"/>
      <c r="C8" s="1"/>
    </row>
    <row r="9" spans="1:3" x14ac:dyDescent="0.25">
      <c r="A9" s="4" t="s">
        <v>7</v>
      </c>
      <c r="B9" s="5">
        <v>2</v>
      </c>
      <c r="C9" s="1"/>
    </row>
    <row r="10" spans="1:3" x14ac:dyDescent="0.25">
      <c r="A10" s="4" t="s">
        <v>8</v>
      </c>
      <c r="B10" s="5">
        <v>2</v>
      </c>
      <c r="C10" s="1"/>
    </row>
    <row r="11" spans="1:3" x14ac:dyDescent="0.25">
      <c r="A11" s="4" t="s">
        <v>9</v>
      </c>
      <c r="B11" s="5">
        <v>2</v>
      </c>
      <c r="C11" s="1"/>
    </row>
    <row r="12" spans="1:3" x14ac:dyDescent="0.25">
      <c r="A12" s="4" t="s">
        <v>10</v>
      </c>
      <c r="B12" s="5">
        <v>2</v>
      </c>
      <c r="C12" s="1"/>
    </row>
    <row r="13" spans="1:3" x14ac:dyDescent="0.25">
      <c r="A13" s="4" t="s">
        <v>11</v>
      </c>
      <c r="B13" s="5">
        <v>1.5</v>
      </c>
      <c r="C13" s="1"/>
    </row>
    <row r="14" spans="1:3" x14ac:dyDescent="0.25">
      <c r="A14" s="4" t="s">
        <v>12</v>
      </c>
      <c r="B14" s="5">
        <v>3</v>
      </c>
      <c r="C14" s="1"/>
    </row>
    <row r="15" spans="1:3" x14ac:dyDescent="0.25">
      <c r="A15" s="4" t="s">
        <v>13</v>
      </c>
      <c r="B15" s="5">
        <v>0.5</v>
      </c>
      <c r="C15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zoomScaleNormal="100" workbookViewId="0">
      <pane ySplit="6" topLeftCell="A7" activePane="bottomLeft" state="frozen"/>
      <selection pane="bottomLeft" activeCell="E14" sqref="E14"/>
    </sheetView>
  </sheetViews>
  <sheetFormatPr baseColWidth="10" defaultColWidth="8.7109375" defaultRowHeight="15" x14ac:dyDescent="0.25"/>
  <cols>
    <col min="1" max="1" width="10" customWidth="1"/>
    <col min="2" max="2" width="17" customWidth="1"/>
    <col min="3" max="3" width="12" customWidth="1"/>
    <col min="4" max="4" width="15" customWidth="1"/>
    <col min="5" max="5" width="26" customWidth="1"/>
    <col min="6" max="6" width="24" customWidth="1"/>
  </cols>
  <sheetData>
    <row r="1" spans="1:6" ht="15.75" x14ac:dyDescent="0.25">
      <c r="A1" s="7" t="s">
        <v>14</v>
      </c>
    </row>
    <row r="2" spans="1:6" ht="15" customHeight="1" x14ac:dyDescent="0.25">
      <c r="A2" s="18"/>
      <c r="B2" s="18"/>
      <c r="C2" s="18"/>
      <c r="D2" s="18"/>
      <c r="E2" s="18"/>
      <c r="F2" s="18"/>
    </row>
    <row r="3" spans="1:6" x14ac:dyDescent="0.25">
      <c r="A3" s="18"/>
      <c r="B3" s="18"/>
      <c r="C3" s="18"/>
      <c r="D3" s="18"/>
      <c r="E3" s="18"/>
      <c r="F3" s="18"/>
    </row>
    <row r="4" spans="1:6" x14ac:dyDescent="0.25">
      <c r="A4" s="18"/>
      <c r="B4" s="18"/>
      <c r="C4" s="18"/>
      <c r="D4" s="18"/>
      <c r="E4" s="18"/>
      <c r="F4" s="18"/>
    </row>
    <row r="6" spans="1:6" ht="26.25" x14ac:dyDescent="0.25">
      <c r="A6" s="8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</row>
    <row r="7" spans="1:6" x14ac:dyDescent="0.25">
      <c r="A7" s="9" t="s">
        <v>21</v>
      </c>
      <c r="B7" s="9" t="s">
        <v>22</v>
      </c>
      <c r="C7" s="9" t="s">
        <v>23</v>
      </c>
      <c r="D7" s="10" t="s">
        <v>24</v>
      </c>
      <c r="E7" s="10" t="s">
        <v>119</v>
      </c>
      <c r="F7" s="9" t="s">
        <v>25</v>
      </c>
    </row>
    <row r="8" spans="1:6" x14ac:dyDescent="0.25">
      <c r="A8" s="9" t="s">
        <v>26</v>
      </c>
      <c r="B8" s="9" t="s">
        <v>22</v>
      </c>
      <c r="C8" s="9" t="s">
        <v>27</v>
      </c>
      <c r="D8" s="10" t="s">
        <v>28</v>
      </c>
      <c r="E8" s="10" t="s">
        <v>119</v>
      </c>
      <c r="F8" s="9" t="s">
        <v>29</v>
      </c>
    </row>
    <row r="9" spans="1:6" x14ac:dyDescent="0.25">
      <c r="A9" s="9" t="s">
        <v>30</v>
      </c>
      <c r="B9" s="9" t="s">
        <v>22</v>
      </c>
      <c r="C9" s="9" t="s">
        <v>23</v>
      </c>
      <c r="D9" s="10" t="s">
        <v>28</v>
      </c>
      <c r="E9" s="10" t="s">
        <v>119</v>
      </c>
      <c r="F9" s="9" t="s">
        <v>31</v>
      </c>
    </row>
    <row r="10" spans="1:6" x14ac:dyDescent="0.25">
      <c r="A10" s="9" t="s">
        <v>32</v>
      </c>
      <c r="B10" s="9" t="s">
        <v>22</v>
      </c>
      <c r="C10" s="9" t="s">
        <v>23</v>
      </c>
      <c r="D10" s="10" t="s">
        <v>28</v>
      </c>
      <c r="E10" s="10" t="s">
        <v>119</v>
      </c>
      <c r="F10" s="9" t="s">
        <v>33</v>
      </c>
    </row>
    <row r="11" spans="1:6" x14ac:dyDescent="0.25">
      <c r="A11" s="9" t="s">
        <v>34</v>
      </c>
      <c r="B11" s="9" t="s">
        <v>22</v>
      </c>
      <c r="C11" s="9" t="s">
        <v>23</v>
      </c>
      <c r="D11" s="10" t="s">
        <v>28</v>
      </c>
      <c r="E11" s="10" t="s">
        <v>119</v>
      </c>
      <c r="F11" s="9" t="s">
        <v>35</v>
      </c>
    </row>
    <row r="12" spans="1:6" x14ac:dyDescent="0.25">
      <c r="A12" s="9" t="s">
        <v>36</v>
      </c>
      <c r="B12" s="9" t="s">
        <v>22</v>
      </c>
      <c r="C12" s="9" t="s">
        <v>27</v>
      </c>
      <c r="D12" s="10" t="s">
        <v>24</v>
      </c>
      <c r="E12" s="10" t="s">
        <v>119</v>
      </c>
      <c r="F12" s="9" t="s">
        <v>37</v>
      </c>
    </row>
    <row r="13" spans="1:6" x14ac:dyDescent="0.25">
      <c r="A13" s="9" t="s">
        <v>38</v>
      </c>
      <c r="B13" s="9" t="s">
        <v>22</v>
      </c>
      <c r="C13" s="9" t="s">
        <v>23</v>
      </c>
      <c r="D13" s="10" t="s">
        <v>24</v>
      </c>
      <c r="E13" s="10" t="s">
        <v>119</v>
      </c>
      <c r="F13" s="9" t="s">
        <v>39</v>
      </c>
    </row>
    <row r="14" spans="1:6" x14ac:dyDescent="0.25">
      <c r="A14" s="9" t="s">
        <v>40</v>
      </c>
      <c r="B14" s="9" t="s">
        <v>22</v>
      </c>
      <c r="C14" s="9" t="s">
        <v>23</v>
      </c>
      <c r="D14" s="10" t="s">
        <v>41</v>
      </c>
      <c r="E14" s="10" t="s">
        <v>121</v>
      </c>
      <c r="F14" s="9" t="s">
        <v>42</v>
      </c>
    </row>
    <row r="15" spans="1:6" x14ac:dyDescent="0.25">
      <c r="A15" s="9" t="s">
        <v>43</v>
      </c>
      <c r="B15" s="9" t="s">
        <v>22</v>
      </c>
      <c r="C15" s="9" t="s">
        <v>27</v>
      </c>
      <c r="D15" s="10" t="s">
        <v>28</v>
      </c>
      <c r="E15" s="10" t="s">
        <v>119</v>
      </c>
      <c r="F15" s="9" t="s">
        <v>44</v>
      </c>
    </row>
    <row r="16" spans="1:6" x14ac:dyDescent="0.25">
      <c r="A16" s="9" t="s">
        <v>45</v>
      </c>
      <c r="B16" s="9" t="s">
        <v>22</v>
      </c>
      <c r="C16" s="9" t="s">
        <v>23</v>
      </c>
      <c r="D16" s="10" t="s">
        <v>28</v>
      </c>
      <c r="E16" s="10" t="s">
        <v>119</v>
      </c>
      <c r="F16" s="9" t="s">
        <v>46</v>
      </c>
    </row>
    <row r="17" spans="1:6" x14ac:dyDescent="0.25">
      <c r="A17" s="9" t="s">
        <v>47</v>
      </c>
      <c r="B17" s="9" t="s">
        <v>22</v>
      </c>
      <c r="C17" s="9" t="s">
        <v>23</v>
      </c>
      <c r="D17" s="10" t="s">
        <v>28</v>
      </c>
      <c r="E17" s="10" t="s">
        <v>119</v>
      </c>
      <c r="F17" s="9" t="s">
        <v>48</v>
      </c>
    </row>
    <row r="18" spans="1:6" x14ac:dyDescent="0.25">
      <c r="A18" s="9" t="s">
        <v>49</v>
      </c>
      <c r="B18" s="9" t="s">
        <v>50</v>
      </c>
      <c r="C18" s="9" t="s">
        <v>23</v>
      </c>
      <c r="D18" s="10" t="s">
        <v>41</v>
      </c>
      <c r="E18" s="10" t="s">
        <v>121</v>
      </c>
      <c r="F18" s="9" t="s">
        <v>51</v>
      </c>
    </row>
    <row r="19" spans="1:6" x14ac:dyDescent="0.25">
      <c r="A19" s="9" t="s">
        <v>52</v>
      </c>
      <c r="B19" s="9" t="s">
        <v>50</v>
      </c>
      <c r="C19" s="9" t="s">
        <v>27</v>
      </c>
      <c r="D19" s="10" t="s">
        <v>28</v>
      </c>
      <c r="E19" s="10" t="s">
        <v>119</v>
      </c>
      <c r="F19" s="9" t="s">
        <v>44</v>
      </c>
    </row>
    <row r="20" spans="1:6" x14ac:dyDescent="0.25">
      <c r="A20" s="9" t="s">
        <v>53</v>
      </c>
      <c r="B20" s="9" t="s">
        <v>50</v>
      </c>
      <c r="C20" s="9" t="s">
        <v>54</v>
      </c>
      <c r="D20" s="10" t="s">
        <v>24</v>
      </c>
      <c r="E20" s="10" t="s">
        <v>119</v>
      </c>
      <c r="F20" s="9" t="s">
        <v>31</v>
      </c>
    </row>
    <row r="21" spans="1:6" x14ac:dyDescent="0.25">
      <c r="A21" s="9" t="s">
        <v>55</v>
      </c>
      <c r="B21" s="9" t="s">
        <v>50</v>
      </c>
      <c r="C21" s="9" t="s">
        <v>23</v>
      </c>
      <c r="D21" s="10" t="s">
        <v>41</v>
      </c>
      <c r="E21" s="10" t="s">
        <v>121</v>
      </c>
      <c r="F21" s="9" t="s">
        <v>56</v>
      </c>
    </row>
    <row r="22" spans="1:6" x14ac:dyDescent="0.25">
      <c r="A22" s="9" t="s">
        <v>57</v>
      </c>
      <c r="B22" s="9" t="s">
        <v>50</v>
      </c>
      <c r="C22" s="9" t="s">
        <v>23</v>
      </c>
      <c r="D22" s="10" t="s">
        <v>58</v>
      </c>
      <c r="E22" s="10" t="s">
        <v>121</v>
      </c>
      <c r="F22" s="9" t="s">
        <v>59</v>
      </c>
    </row>
    <row r="23" spans="1:6" x14ac:dyDescent="0.25">
      <c r="A23" s="9" t="s">
        <v>60</v>
      </c>
      <c r="B23" s="9" t="s">
        <v>61</v>
      </c>
      <c r="C23" s="9" t="s">
        <v>23</v>
      </c>
      <c r="D23" s="10" t="s">
        <v>62</v>
      </c>
      <c r="E23" s="10" t="s">
        <v>120</v>
      </c>
      <c r="F23" s="9" t="s">
        <v>63</v>
      </c>
    </row>
    <row r="24" spans="1:6" x14ac:dyDescent="0.25">
      <c r="A24" s="9" t="s">
        <v>64</v>
      </c>
      <c r="B24" s="9" t="s">
        <v>61</v>
      </c>
      <c r="C24" s="9" t="s">
        <v>23</v>
      </c>
      <c r="D24" s="10" t="s">
        <v>62</v>
      </c>
      <c r="E24" s="10" t="s">
        <v>120</v>
      </c>
      <c r="F24" s="9" t="s">
        <v>65</v>
      </c>
    </row>
    <row r="25" spans="1:6" x14ac:dyDescent="0.25">
      <c r="A25" s="9" t="s">
        <v>66</v>
      </c>
      <c r="B25" s="9" t="s">
        <v>61</v>
      </c>
      <c r="C25" s="9" t="s">
        <v>23</v>
      </c>
      <c r="D25" s="10" t="s">
        <v>62</v>
      </c>
      <c r="E25" s="10" t="s">
        <v>120</v>
      </c>
      <c r="F25" s="9" t="s">
        <v>67</v>
      </c>
    </row>
    <row r="26" spans="1:6" x14ac:dyDescent="0.25">
      <c r="A26" s="9" t="s">
        <v>68</v>
      </c>
      <c r="B26" s="9" t="s">
        <v>61</v>
      </c>
      <c r="C26" s="9" t="s">
        <v>54</v>
      </c>
      <c r="D26" s="10" t="s">
        <v>58</v>
      </c>
      <c r="E26" s="10" t="s">
        <v>121</v>
      </c>
      <c r="F26" s="9" t="s">
        <v>69</v>
      </c>
    </row>
    <row r="27" spans="1:6" x14ac:dyDescent="0.25">
      <c r="A27" s="9" t="s">
        <v>70</v>
      </c>
      <c r="B27" s="9" t="s">
        <v>61</v>
      </c>
      <c r="C27" s="9" t="s">
        <v>54</v>
      </c>
      <c r="D27" s="10" t="s">
        <v>58</v>
      </c>
      <c r="E27" s="10" t="s">
        <v>121</v>
      </c>
      <c r="F27" s="9" t="s">
        <v>71</v>
      </c>
    </row>
    <row r="28" spans="1:6" x14ac:dyDescent="0.25">
      <c r="A28" s="9" t="s">
        <v>72</v>
      </c>
      <c r="B28" s="9" t="s">
        <v>73</v>
      </c>
      <c r="C28" s="9" t="s">
        <v>23</v>
      </c>
      <c r="D28" s="10" t="s">
        <v>62</v>
      </c>
      <c r="E28" s="10" t="s">
        <v>120</v>
      </c>
      <c r="F28" s="9" t="s">
        <v>74</v>
      </c>
    </row>
    <row r="29" spans="1:6" x14ac:dyDescent="0.25">
      <c r="A29" s="9" t="s">
        <v>75</v>
      </c>
      <c r="B29" s="9" t="s">
        <v>73</v>
      </c>
      <c r="C29" s="9" t="s">
        <v>23</v>
      </c>
      <c r="D29" s="10" t="s">
        <v>62</v>
      </c>
      <c r="E29" s="10" t="s">
        <v>120</v>
      </c>
      <c r="F29" s="9" t="s">
        <v>76</v>
      </c>
    </row>
    <row r="30" spans="1:6" x14ac:dyDescent="0.25">
      <c r="A30" s="9" t="s">
        <v>77</v>
      </c>
      <c r="B30" s="9" t="s">
        <v>73</v>
      </c>
      <c r="C30" s="9" t="s">
        <v>23</v>
      </c>
      <c r="D30" s="10" t="s">
        <v>62</v>
      </c>
      <c r="E30" s="10" t="s">
        <v>120</v>
      </c>
      <c r="F30" s="9" t="s">
        <v>78</v>
      </c>
    </row>
    <row r="31" spans="1:6" x14ac:dyDescent="0.25">
      <c r="A31" s="9" t="s">
        <v>79</v>
      </c>
      <c r="B31" s="9" t="s">
        <v>73</v>
      </c>
      <c r="C31" s="9" t="s">
        <v>54</v>
      </c>
      <c r="D31" s="10" t="s">
        <v>62</v>
      </c>
      <c r="E31" s="10" t="s">
        <v>120</v>
      </c>
      <c r="F31" s="9" t="s">
        <v>80</v>
      </c>
    </row>
    <row r="32" spans="1:6" x14ac:dyDescent="0.25">
      <c r="A32" s="9" t="s">
        <v>81</v>
      </c>
      <c r="B32" s="9" t="s">
        <v>82</v>
      </c>
      <c r="C32" s="9" t="s">
        <v>23</v>
      </c>
      <c r="D32" s="10" t="s">
        <v>58</v>
      </c>
      <c r="E32" s="10" t="s">
        <v>121</v>
      </c>
      <c r="F32" s="9" t="s">
        <v>83</v>
      </c>
    </row>
    <row r="33" spans="1:6" x14ac:dyDescent="0.25">
      <c r="A33" s="9" t="s">
        <v>84</v>
      </c>
      <c r="B33" s="9" t="s">
        <v>82</v>
      </c>
      <c r="C33" s="9" t="s">
        <v>23</v>
      </c>
      <c r="D33" s="10" t="s">
        <v>41</v>
      </c>
      <c r="E33" s="10" t="s">
        <v>121</v>
      </c>
      <c r="F33" s="9" t="s">
        <v>85</v>
      </c>
    </row>
    <row r="34" spans="1:6" x14ac:dyDescent="0.25">
      <c r="A34" s="9" t="s">
        <v>86</v>
      </c>
      <c r="B34" s="9" t="s">
        <v>82</v>
      </c>
      <c r="C34" s="9" t="s">
        <v>23</v>
      </c>
      <c r="D34" s="10" t="s">
        <v>41</v>
      </c>
      <c r="E34" s="10" t="s">
        <v>121</v>
      </c>
      <c r="F34" s="9" t="s">
        <v>56</v>
      </c>
    </row>
    <row r="35" spans="1:6" x14ac:dyDescent="0.25">
      <c r="A35" s="9" t="s">
        <v>87</v>
      </c>
      <c r="B35" s="9" t="s">
        <v>82</v>
      </c>
      <c r="C35" s="9" t="s">
        <v>23</v>
      </c>
      <c r="D35" s="10" t="s">
        <v>24</v>
      </c>
      <c r="E35" s="10" t="s">
        <v>119</v>
      </c>
      <c r="F35" s="9" t="s">
        <v>31</v>
      </c>
    </row>
    <row r="36" spans="1:6" x14ac:dyDescent="0.25">
      <c r="A36" s="9" t="s">
        <v>88</v>
      </c>
      <c r="B36" s="9" t="s">
        <v>89</v>
      </c>
      <c r="C36" s="9" t="s">
        <v>23</v>
      </c>
      <c r="D36" s="10" t="s">
        <v>58</v>
      </c>
      <c r="E36" s="10" t="s">
        <v>121</v>
      </c>
      <c r="F36" s="9" t="s">
        <v>90</v>
      </c>
    </row>
    <row r="37" spans="1:6" x14ac:dyDescent="0.25">
      <c r="A37" s="9" t="s">
        <v>91</v>
      </c>
      <c r="B37" s="9" t="s">
        <v>50</v>
      </c>
      <c r="C37" s="9" t="s">
        <v>23</v>
      </c>
      <c r="D37" s="10" t="s">
        <v>58</v>
      </c>
      <c r="E37" s="10" t="s">
        <v>121</v>
      </c>
      <c r="F37" s="9" t="s">
        <v>92</v>
      </c>
    </row>
    <row r="38" spans="1:6" x14ac:dyDescent="0.25">
      <c r="A38" s="9" t="s">
        <v>93</v>
      </c>
      <c r="B38" s="9" t="s">
        <v>89</v>
      </c>
      <c r="C38" s="9" t="s">
        <v>54</v>
      </c>
      <c r="D38" s="10" t="s">
        <v>24</v>
      </c>
      <c r="E38" s="10" t="s">
        <v>119</v>
      </c>
      <c r="F38" s="9" t="s">
        <v>56</v>
      </c>
    </row>
    <row r="39" spans="1:6" x14ac:dyDescent="0.25">
      <c r="A39" s="9" t="s">
        <v>94</v>
      </c>
      <c r="B39" s="9" t="s">
        <v>89</v>
      </c>
      <c r="C39" s="9" t="s">
        <v>23</v>
      </c>
      <c r="D39" s="10" t="s">
        <v>28</v>
      </c>
      <c r="E39" s="10" t="s">
        <v>119</v>
      </c>
      <c r="F39" s="9" t="s">
        <v>95</v>
      </c>
    </row>
  </sheetData>
  <mergeCells count="1">
    <mergeCell ref="A2:F4"/>
  </mergeCells>
  <dataValidations count="3">
    <dataValidation type="list" sqref="B7:B39" xr:uid="{00000000-0002-0000-0100-000000000000}">
      <formula1>"Ambigüedad,Completitud,Consistencia,Verificabilidad,Trazabilidad,Factibilidad"</formula1>
      <formula2>0</formula2>
    </dataValidation>
    <dataValidation type="list" sqref="C7:C39" xr:uid="{00000000-0002-0000-0100-000001000000}">
      <formula1>"Crítico,Mayor,Menor"</formula1>
      <formula2>0</formula2>
    </dataValidation>
    <dataValidation type="list" sqref="D7:D39" xr:uid="{00000000-0002-0000-0100-000002000000}">
      <formula1>"Moderador,Lector,Inspector 1,Inspector 2,Libre"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zoomScale="70" zoomScaleNormal="70" workbookViewId="0">
      <selection activeCell="B46" sqref="B46:D46"/>
    </sheetView>
  </sheetViews>
  <sheetFormatPr baseColWidth="10" defaultColWidth="8.7109375" defaultRowHeight="15" x14ac:dyDescent="0.25"/>
  <cols>
    <col min="1" max="1" width="34" customWidth="1"/>
    <col min="2" max="3" width="14" customWidth="1"/>
    <col min="4" max="4" width="88" customWidth="1"/>
  </cols>
  <sheetData>
    <row r="1" spans="1:4" ht="16.5" x14ac:dyDescent="0.25">
      <c r="A1" s="2" t="s">
        <v>96</v>
      </c>
    </row>
    <row r="2" spans="1:4" x14ac:dyDescent="0.25">
      <c r="A2" s="3"/>
    </row>
    <row r="4" spans="1:4" x14ac:dyDescent="0.25">
      <c r="A4" s="11" t="s">
        <v>97</v>
      </c>
      <c r="B4" s="12"/>
      <c r="C4" s="12"/>
      <c r="D4" s="12"/>
    </row>
    <row r="5" spans="1:4" x14ac:dyDescent="0.25">
      <c r="A5" s="4" t="s">
        <v>98</v>
      </c>
      <c r="B5" s="13">
        <f>COUNTA(Datos!$A$7:$A$39)</f>
        <v>33</v>
      </c>
    </row>
    <row r="6" spans="1:4" x14ac:dyDescent="0.25">
      <c r="A6" s="4" t="s">
        <v>99</v>
      </c>
      <c r="B6" s="13">
        <f>Parametros!$B$5</f>
        <v>63</v>
      </c>
    </row>
    <row r="7" spans="1:4" x14ac:dyDescent="0.25">
      <c r="A7" s="4" t="s">
        <v>100</v>
      </c>
      <c r="B7" s="14">
        <f>IFERROR(B5/B6,0)</f>
        <v>0.52380952380952384</v>
      </c>
    </row>
    <row r="8" spans="1:4" ht="30" customHeight="1" x14ac:dyDescent="0.25">
      <c r="A8" s="6" t="s">
        <v>101</v>
      </c>
      <c r="B8" s="19" t="s">
        <v>122</v>
      </c>
      <c r="C8" s="19"/>
      <c r="D8" s="19"/>
    </row>
    <row r="10" spans="1:4" x14ac:dyDescent="0.25">
      <c r="A10" s="11" t="s">
        <v>102</v>
      </c>
      <c r="B10" s="12"/>
      <c r="C10" s="12"/>
      <c r="D10" s="12"/>
    </row>
    <row r="11" spans="1:4" x14ac:dyDescent="0.25">
      <c r="A11" s="6" t="s">
        <v>16</v>
      </c>
      <c r="B11" s="6" t="s">
        <v>103</v>
      </c>
      <c r="C11" s="6" t="s">
        <v>104</v>
      </c>
    </row>
    <row r="12" spans="1:4" x14ac:dyDescent="0.25">
      <c r="A12" s="4" t="s">
        <v>73</v>
      </c>
      <c r="B12" s="15">
        <f>COUNTIF(Datos!$B$7:$B$39,A12)</f>
        <v>4</v>
      </c>
      <c r="C12" s="16">
        <f t="shared" ref="C12:C17" si="0">IFERROR(B12/SUM($B$12:$B$17),0)</f>
        <v>0.12121212121212122</v>
      </c>
    </row>
    <row r="13" spans="1:4" x14ac:dyDescent="0.25">
      <c r="A13" s="4" t="s">
        <v>50</v>
      </c>
      <c r="B13" s="15">
        <f>COUNTIF(Datos!$B$7:$B$39,A13)</f>
        <v>6</v>
      </c>
      <c r="C13" s="16">
        <f t="shared" si="0"/>
        <v>0.18181818181818182</v>
      </c>
    </row>
    <row r="14" spans="1:4" x14ac:dyDescent="0.25">
      <c r="A14" s="4" t="s">
        <v>22</v>
      </c>
      <c r="B14" s="15">
        <f>COUNTIF(Datos!$B$7:$B$39,A14)</f>
        <v>11</v>
      </c>
      <c r="C14" s="16">
        <f t="shared" si="0"/>
        <v>0.33333333333333331</v>
      </c>
    </row>
    <row r="15" spans="1:4" x14ac:dyDescent="0.25">
      <c r="A15" s="4" t="s">
        <v>61</v>
      </c>
      <c r="B15" s="15">
        <f>COUNTIF(Datos!$B$7:$B$39,A15)</f>
        <v>5</v>
      </c>
      <c r="C15" s="16">
        <f t="shared" si="0"/>
        <v>0.15151515151515152</v>
      </c>
    </row>
    <row r="16" spans="1:4" x14ac:dyDescent="0.25">
      <c r="A16" s="4" t="s">
        <v>82</v>
      </c>
      <c r="B16" s="15">
        <f>COUNTIF(Datos!$B$7:$B$39,A16)</f>
        <v>4</v>
      </c>
      <c r="C16" s="16">
        <f t="shared" si="0"/>
        <v>0.12121212121212122</v>
      </c>
    </row>
    <row r="17" spans="1:4" x14ac:dyDescent="0.25">
      <c r="A17" s="4" t="s">
        <v>89</v>
      </c>
      <c r="B17" s="15">
        <f>COUNTIF(Datos!$B$7:$B$39,A17)</f>
        <v>3</v>
      </c>
      <c r="C17" s="16">
        <f t="shared" si="0"/>
        <v>9.0909090909090912E-2</v>
      </c>
    </row>
    <row r="18" spans="1:4" x14ac:dyDescent="0.25">
      <c r="A18" s="6" t="s">
        <v>105</v>
      </c>
      <c r="B18" s="6">
        <f>SUM(B12:B17)</f>
        <v>33</v>
      </c>
    </row>
    <row r="19" spans="1:4" ht="30" customHeight="1" x14ac:dyDescent="0.25">
      <c r="A19" s="6" t="s">
        <v>101</v>
      </c>
      <c r="B19" s="19" t="s">
        <v>123</v>
      </c>
      <c r="C19" s="19"/>
      <c r="D19" s="19"/>
    </row>
    <row r="21" spans="1:4" x14ac:dyDescent="0.25">
      <c r="A21" s="11" t="s">
        <v>106</v>
      </c>
      <c r="B21" s="12"/>
      <c r="C21" s="12"/>
      <c r="D21" s="12"/>
    </row>
    <row r="22" spans="1:4" x14ac:dyDescent="0.25">
      <c r="A22" s="6" t="s">
        <v>17</v>
      </c>
      <c r="B22" s="6" t="s">
        <v>103</v>
      </c>
      <c r="C22" s="6" t="s">
        <v>104</v>
      </c>
    </row>
    <row r="23" spans="1:4" x14ac:dyDescent="0.25">
      <c r="A23" s="4" t="s">
        <v>27</v>
      </c>
      <c r="B23" s="15">
        <f>COUNTIF(Datos!$C$7:$C$39,A23)</f>
        <v>4</v>
      </c>
      <c r="C23" s="16">
        <f>IFERROR(B23/SUM($B$23:$B$25),0)</f>
        <v>0.12121212121212122</v>
      </c>
    </row>
    <row r="24" spans="1:4" x14ac:dyDescent="0.25">
      <c r="A24" s="4" t="s">
        <v>23</v>
      </c>
      <c r="B24" s="15">
        <f>COUNTIF(Datos!$C$7:$C$39,A24)</f>
        <v>24</v>
      </c>
      <c r="C24" s="16">
        <f>IFERROR(B24/SUM($B$23:$B$25),0)</f>
        <v>0.72727272727272729</v>
      </c>
    </row>
    <row r="25" spans="1:4" x14ac:dyDescent="0.25">
      <c r="A25" s="4" t="s">
        <v>54</v>
      </c>
      <c r="B25" s="15">
        <f>COUNTIF(Datos!$C$7:$C$39,A25)</f>
        <v>5</v>
      </c>
      <c r="C25" s="16">
        <f>IFERROR(B25/SUM($B$23:$B$25),0)</f>
        <v>0.15151515151515152</v>
      </c>
    </row>
    <row r="26" spans="1:4" x14ac:dyDescent="0.25">
      <c r="A26" s="6" t="s">
        <v>107</v>
      </c>
      <c r="B26" s="6">
        <f>B23+B24</f>
        <v>28</v>
      </c>
    </row>
    <row r="27" spans="1:4" ht="30" customHeight="1" x14ac:dyDescent="0.25">
      <c r="A27" s="6" t="s">
        <v>101</v>
      </c>
      <c r="B27" s="19" t="s">
        <v>124</v>
      </c>
      <c r="C27" s="19"/>
      <c r="D27" s="19"/>
    </row>
    <row r="29" spans="1:4" x14ac:dyDescent="0.25">
      <c r="A29" s="11" t="s">
        <v>108</v>
      </c>
      <c r="B29" s="12"/>
      <c r="C29" s="12"/>
      <c r="D29" s="12"/>
    </row>
    <row r="30" spans="1:4" x14ac:dyDescent="0.25">
      <c r="A30" s="6" t="s">
        <v>109</v>
      </c>
      <c r="B30" s="6" t="s">
        <v>110</v>
      </c>
      <c r="C30" s="6" t="s">
        <v>104</v>
      </c>
      <c r="D30" s="6" t="s">
        <v>111</v>
      </c>
    </row>
    <row r="31" spans="1:4" x14ac:dyDescent="0.25">
      <c r="A31" s="4" t="s">
        <v>24</v>
      </c>
      <c r="B31" s="15">
        <f>COUNTIF(Datos!$D$7:$D$39,A31)</f>
        <v>6</v>
      </c>
      <c r="C31" s="16">
        <f>IFERROR(B31/SUM($B$31:$B$35),0)</f>
        <v>0.18181818181818182</v>
      </c>
      <c r="D31" s="15" t="str">
        <f>IF(A31="Libre","n/a",IF(B31&gt;=6,"Sí","NO — faltan "&amp;(6-B31)))</f>
        <v>Sí</v>
      </c>
    </row>
    <row r="32" spans="1:4" x14ac:dyDescent="0.25">
      <c r="A32" s="4" t="s">
        <v>62</v>
      </c>
      <c r="B32" s="15">
        <f>COUNTIF(Datos!$D$7:$D$39,A32)</f>
        <v>7</v>
      </c>
      <c r="C32" s="16">
        <f>IFERROR(B32/SUM($B$31:$B$35),0)</f>
        <v>0.21212121212121213</v>
      </c>
      <c r="D32" s="15" t="str">
        <f>IF(A32="Libre","n/a",IF(B32&gt;=6,"Sí","NO — faltan "&amp;(6-B32)))</f>
        <v>Sí</v>
      </c>
    </row>
    <row r="33" spans="1:4" x14ac:dyDescent="0.25">
      <c r="A33" s="4" t="s">
        <v>58</v>
      </c>
      <c r="B33" s="15">
        <f>COUNTIF(Datos!$D$7:$D$39,A33)</f>
        <v>6</v>
      </c>
      <c r="C33" s="16">
        <f>IFERROR(B33/SUM($B$31:$B$35),0)</f>
        <v>0.18181818181818182</v>
      </c>
      <c r="D33" s="15" t="str">
        <f>IF(A33="Libre","n/a",IF(B33&gt;=6,"Sí","NO — faltan "&amp;(6-B33)))</f>
        <v>Sí</v>
      </c>
    </row>
    <row r="34" spans="1:4" x14ac:dyDescent="0.25">
      <c r="A34" s="4" t="s">
        <v>28</v>
      </c>
      <c r="B34" s="15">
        <f>COUNTIF(Datos!$D$7:$D$39,A34)</f>
        <v>9</v>
      </c>
      <c r="C34" s="16">
        <f>IFERROR(B34/SUM($B$31:$B$35),0)</f>
        <v>0.27272727272727271</v>
      </c>
      <c r="D34" s="15" t="str">
        <f>IF(A34="Libre","n/a",IF(B34&gt;=6,"Sí","NO — faltan "&amp;(6-B34)))</f>
        <v>Sí</v>
      </c>
    </row>
    <row r="35" spans="1:4" x14ac:dyDescent="0.25">
      <c r="A35" s="4" t="s">
        <v>41</v>
      </c>
      <c r="B35" s="15">
        <f>COUNTIF(Datos!$D$7:$D$39,A35)</f>
        <v>5</v>
      </c>
      <c r="C35" s="16">
        <f>IFERROR(B35/SUM($B$31:$B$35),0)</f>
        <v>0.15151515151515152</v>
      </c>
      <c r="D35" s="15" t="str">
        <f>IF(A35="Libre","n/a",IF(B35&gt;=6,"Sí","NO — faltan "&amp;(6-B35)))</f>
        <v>n/a</v>
      </c>
    </row>
    <row r="36" spans="1:4" x14ac:dyDescent="0.25">
      <c r="A36" s="6" t="s">
        <v>105</v>
      </c>
      <c r="B36" s="6">
        <f>SUM(B31:B35)</f>
        <v>33</v>
      </c>
    </row>
    <row r="37" spans="1:4" ht="30" customHeight="1" x14ac:dyDescent="0.25">
      <c r="A37" s="6" t="s">
        <v>101</v>
      </c>
      <c r="B37" s="19" t="s">
        <v>125</v>
      </c>
      <c r="C37" s="19"/>
      <c r="D37" s="19"/>
    </row>
    <row r="39" spans="1:4" x14ac:dyDescent="0.25">
      <c r="A39" s="11" t="s">
        <v>112</v>
      </c>
      <c r="B39" s="12"/>
      <c r="C39" s="12"/>
      <c r="D39" s="12"/>
    </row>
    <row r="40" spans="1:4" x14ac:dyDescent="0.25">
      <c r="A40" s="4" t="s">
        <v>113</v>
      </c>
      <c r="B40" s="17">
        <f>SUM(Parametros!B9:B12)</f>
        <v>8</v>
      </c>
    </row>
    <row r="41" spans="1:4" x14ac:dyDescent="0.25">
      <c r="A41" s="4" t="s">
        <v>114</v>
      </c>
      <c r="B41" s="17">
        <f>Parametros!B13*Parametros!B14</f>
        <v>4.5</v>
      </c>
    </row>
    <row r="42" spans="1:4" x14ac:dyDescent="0.25">
      <c r="A42" s="4" t="s">
        <v>115</v>
      </c>
      <c r="B42" s="17">
        <f>Parametros!B15</f>
        <v>0.5</v>
      </c>
    </row>
    <row r="43" spans="1:4" x14ac:dyDescent="0.25">
      <c r="A43" s="6" t="s">
        <v>116</v>
      </c>
      <c r="B43" s="14">
        <f>SUM(B40:B42)</f>
        <v>13</v>
      </c>
    </row>
    <row r="44" spans="1:4" x14ac:dyDescent="0.25">
      <c r="A44" s="4" t="s">
        <v>117</v>
      </c>
      <c r="B44" s="17">
        <f>IFERROR(B43/B5,0)</f>
        <v>0.39393939393939392</v>
      </c>
    </row>
    <row r="45" spans="1:4" x14ac:dyDescent="0.25">
      <c r="A45" s="4" t="s">
        <v>118</v>
      </c>
      <c r="B45" s="17">
        <f>IFERROR(B5/B43,0)</f>
        <v>2.5384615384615383</v>
      </c>
    </row>
    <row r="46" spans="1:4" ht="30" customHeight="1" x14ac:dyDescent="0.25">
      <c r="A46" s="6" t="s">
        <v>101</v>
      </c>
      <c r="B46" s="19" t="s">
        <v>126</v>
      </c>
      <c r="C46" s="19"/>
      <c r="D46" s="19"/>
    </row>
  </sheetData>
  <mergeCells count="5">
    <mergeCell ref="B8:D8"/>
    <mergeCell ref="B19:D19"/>
    <mergeCell ref="B27:D27"/>
    <mergeCell ref="B37:D37"/>
    <mergeCell ref="B46:D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Parametros</vt:lpstr>
      <vt:lpstr>Datos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1</cp:revision>
  <dcterms:created xsi:type="dcterms:W3CDTF">2026-08-05T02:10:02Z</dcterms:created>
  <dcterms:modified xsi:type="dcterms:W3CDTF">2026-08-06T03:37:06Z</dcterms:modified>
  <dc:language>en-US</dc:language>
</cp:coreProperties>
</file>