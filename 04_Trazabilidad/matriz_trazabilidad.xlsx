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_trazabilidad" sheetId="1" state="visible" r:id="rId3"/>
    <sheet name="Cobertura" sheetId="2" state="visible" r:id="rId4"/>
  </sheets>
  <definedNames>
    <definedName function="false" hidden="true" localSheetId="0" name="_xlnm._FilterDatabase" vbProcedure="false">Matriz_trazabilidad!$A$7:$M$59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<sst xmlns="http://schemas.openxmlformats.org/spreadsheetml/2006/main" count="703" uniqueCount="329">
  <si>
    <t xml:space="preserve">MATRIZ DE TRAZABILIDAD BIDIRECCIONAL — ERS SIMPA v3.0 · PE4 · Equipo B</t>
  </si>
  <si>
    <t xml:space="preserve">Cadena completa: Interesado → Evidencia → Requisito → Caso de uso → Historia/Criterio → Módulo → Prototipo → Caso de prueba. Hacia atrás: columnas B–C (interesado y evidencia de campo). Hacia adelante: columnas G–L (CU, HU/CA, módulo, mockup, prueba).</t>
  </si>
  <si>
    <t xml:space="preserve">PROCEDENCIA DE CADA COLUMNA — columnas A–E, G, H y K: transcritas de la Tabla 69 del ERS (§5.4, vista reducida de 52 filas). Columna F: prioridad MoSCoW leída de la ficha del requisito en la §3.2, no de la §5.3.1. Columnas sombreadas en verde (I, J, L, M): DERIVADAS por el equipo en la PE4, no transcritas — el ERS no especifica módulos ni casos de prueba. El módulo corresponde al bloque funcional de la §3.2 en que el ERS ubica el requisito; el caso de prueba se deriva del campo "Criterio de verificación" de la propia ficha (columna M), que es la única condición de aceptación que el ERS enuncia por requisito.</t>
  </si>
  <si>
    <t xml:space="preserve">N.º</t>
  </si>
  <si>
    <t xml:space="preserve">Interesado (hacia atrás)</t>
  </si>
  <si>
    <t xml:space="preserve">Evidencia (hacia atrás)</t>
  </si>
  <si>
    <t xml:space="preserve">Requisito</t>
  </si>
  <si>
    <t xml:space="preserve">Tipo</t>
  </si>
  <si>
    <t xml:space="preserve">Prioridad MoSCoW</t>
  </si>
  <si>
    <t xml:space="preserve">Caso de uso</t>
  </si>
  <si>
    <t xml:space="preserve">Historia de usuario</t>
  </si>
  <si>
    <t xml:space="preserve">Criterio de aceptación</t>
  </si>
  <si>
    <t xml:space="preserve">Módulo / Bloque funcional</t>
  </si>
  <si>
    <t xml:space="preserve">Prototipo (mockup)</t>
  </si>
  <si>
    <t xml:space="preserve">Caso de prueba</t>
  </si>
  <si>
    <t xml:space="preserve">Condición de la prueba (criterio de verificación del ERS)</t>
  </si>
  <si>
    <t xml:space="preserve">1</t>
  </si>
  <si>
    <t xml:space="preserve">Administrador</t>
  </si>
  <si>
    <t xml:space="preserve">EV-01, EV-09</t>
  </si>
  <si>
    <t xml:space="preserve">RF-01</t>
  </si>
  <si>
    <t xml:space="preserve">RF</t>
  </si>
  <si>
    <t xml:space="preserve">Must</t>
  </si>
  <si>
    <t xml:space="preserve">CU-11</t>
  </si>
  <si>
    <t xml:space="preserve">HU-01</t>
  </si>
  <si>
    <t xml:space="preserve">CA-01</t>
  </si>
  <si>
    <t xml:space="preserve">M-01 Gestión de la estructura productiva</t>
  </si>
  <si>
    <t xml:space="preserve">MU-01</t>
  </si>
  <si>
    <t xml:space="preserve">CP-01</t>
  </si>
  <si>
    <t xml:space="preserve">Una cuenta con rol trabajador agrícola no puede acceder a ninguna función de administración; el acceso se concede exclusivamente con credenciales válidas.</t>
  </si>
  <si>
    <t xml:space="preserve">2</t>
  </si>
  <si>
    <t xml:space="preserve">EV-01, EV-02</t>
  </si>
  <si>
    <t xml:space="preserve">RF-02</t>
  </si>
  <si>
    <t xml:space="preserve">CU-12</t>
  </si>
  <si>
    <t xml:space="preserve">HU-02</t>
  </si>
  <si>
    <t xml:space="preserve">CA-02</t>
  </si>
  <si>
    <t xml:space="preserve">MU-05</t>
  </si>
  <si>
    <t xml:space="preserve">CP-02</t>
  </si>
  <si>
    <t xml:space="preserve">Tras registrar un lote, este aparece en el listado y puede seleccionarse como destino de una labor, un diagnóstico y un registro de cosecha.</t>
  </si>
  <si>
    <t xml:space="preserve">3</t>
  </si>
  <si>
    <t xml:space="preserve">EV-01, EV-11</t>
  </si>
  <si>
    <t xml:space="preserve">RF-03</t>
  </si>
  <si>
    <t xml:space="preserve">CU-13</t>
  </si>
  <si>
    <t xml:space="preserve">HU-03</t>
  </si>
  <si>
    <t xml:space="preserve">CA-03</t>
  </si>
  <si>
    <t xml:space="preserve">—</t>
  </si>
  <si>
    <t xml:space="preserve">CP-03</t>
  </si>
  <si>
    <t xml:space="preserve">Cada persona registrada queda asociada al menos a un equipo y aparece como asignable en el registro de labores.</t>
  </si>
  <si>
    <t xml:space="preserve">4</t>
  </si>
  <si>
    <t xml:space="preserve">Trabajador</t>
  </si>
  <si>
    <t xml:space="preserve">EV-05, EV-06</t>
  </si>
  <si>
    <t xml:space="preserve">RF-04</t>
  </si>
  <si>
    <t xml:space="preserve">CU-04</t>
  </si>
  <si>
    <t xml:space="preserve">HU-04</t>
  </si>
  <si>
    <t xml:space="preserve">CA-04</t>
  </si>
  <si>
    <t xml:space="preserve">M-03 Registro operativo de campo</t>
  </si>
  <si>
    <t xml:space="preserve">MU-04</t>
  </si>
  <si>
    <t xml:space="preserve">CP-04</t>
  </si>
  <si>
    <t xml:space="preserve">Una labor registrada queda vinculada a su lote, fecha y responsable, y es recuperable mediante consulta del historial del lote.</t>
  </si>
  <si>
    <t xml:space="preserve">5</t>
  </si>
  <si>
    <t xml:space="preserve">EV-11</t>
  </si>
  <si>
    <t xml:space="preserve">6</t>
  </si>
  <si>
    <t xml:space="preserve">Técnico fitosan.</t>
  </si>
  <si>
    <t xml:space="preserve">RF-05</t>
  </si>
  <si>
    <t xml:space="preserve">CU-15</t>
  </si>
  <si>
    <t xml:space="preserve">HU-05</t>
  </si>
  <si>
    <t xml:space="preserve">CA-05</t>
  </si>
  <si>
    <t xml:space="preserve">CP-05</t>
  </si>
  <si>
    <t xml:space="preserve">El sistema almacena cada monitoreo con fecha y lote, y permite filtrar los lotes que presentan incidencia abierta.</t>
  </si>
  <si>
    <t xml:space="preserve">7</t>
  </si>
  <si>
    <t xml:space="preserve">EV-01</t>
  </si>
  <si>
    <t xml:space="preserve">RF-06</t>
  </si>
  <si>
    <t xml:space="preserve">Should</t>
  </si>
  <si>
    <t xml:space="preserve">CP-06</t>
  </si>
  <si>
    <t xml:space="preserve">Cada lote muestra su etapa actual y el historial completo de transiciones con sus fechas.</t>
  </si>
  <si>
    <t xml:space="preserve">8</t>
  </si>
  <si>
    <t xml:space="preserve">Asistente admin.</t>
  </si>
  <si>
    <t xml:space="preserve">RF-07</t>
  </si>
  <si>
    <t xml:space="preserve">CU-01</t>
  </si>
  <si>
    <t xml:space="preserve">HU-06</t>
  </si>
  <si>
    <t xml:space="preserve">CA-06</t>
  </si>
  <si>
    <t xml:space="preserve">M-05 Diagnóstico asistido por IA</t>
  </si>
  <si>
    <t xml:space="preserve">MU-03</t>
  </si>
  <si>
    <t xml:space="preserve">CP-07</t>
  </si>
  <si>
    <t xml:space="preserve">Ante un conjunto de imágenes de prueba con afectación previamente conocida, el sistema devuelve la clasificación correspondiente y la registra con su lote y fecha.</t>
  </si>
  <si>
    <t xml:space="preserve">9</t>
  </si>
  <si>
    <t xml:space="preserve">EV-07</t>
  </si>
  <si>
    <t xml:space="preserve">10</t>
  </si>
  <si>
    <t xml:space="preserve">Asesor técnico</t>
  </si>
  <si>
    <t xml:space="preserve">EV-02</t>
  </si>
  <si>
    <t xml:space="preserve">RF-08</t>
  </si>
  <si>
    <t xml:space="preserve">CU-02</t>
  </si>
  <si>
    <t xml:space="preserve">HU-07</t>
  </si>
  <si>
    <t xml:space="preserve">CA-07</t>
  </si>
  <si>
    <t xml:space="preserve">CP-08</t>
  </si>
  <si>
    <t xml:space="preserve">Ante una hoja con deficiencia previamente conocida, el sistema indica la deficiencia, propone una corrección y almacena el registro.</t>
  </si>
  <si>
    <t xml:space="preserve">11</t>
  </si>
  <si>
    <t xml:space="preserve">EV-04</t>
  </si>
  <si>
    <t xml:space="preserve">12</t>
  </si>
  <si>
    <t xml:space="preserve">RF-09</t>
  </si>
  <si>
    <t xml:space="preserve">CP-09</t>
  </si>
  <si>
    <t xml:space="preserve">Para una plaga detectada en estado adulto, el sistema recomienda trampeo; para la misma plaga en estado larval, recomienda aplicación de insecticida.</t>
  </si>
  <si>
    <t xml:space="preserve">13</t>
  </si>
  <si>
    <t xml:space="preserve">RF-10</t>
  </si>
  <si>
    <t xml:space="preserve">HU-08</t>
  </si>
  <si>
    <t xml:space="preserve">CA-08</t>
  </si>
  <si>
    <t xml:space="preserve">CP-10</t>
  </si>
  <si>
    <t xml:space="preserve">Para un lote de variedad guineensis, el umbral de madurez aplicado es de 3 frutos desprendidos; para un lote de variedad híbrida, de 5.</t>
  </si>
  <si>
    <t xml:space="preserve">14</t>
  </si>
  <si>
    <t xml:space="preserve">RF-11</t>
  </si>
  <si>
    <t xml:space="preserve">CP-11</t>
  </si>
  <si>
    <t xml:space="preserve">Tras registrar un análisis, sus valores quedan asociados al lote y pueden compararse con los análisis previos del mismo lote.</t>
  </si>
  <si>
    <t xml:space="preserve">15</t>
  </si>
  <si>
    <t xml:space="preserve">RF-12</t>
  </si>
  <si>
    <t xml:space="preserve">CU-16</t>
  </si>
  <si>
    <t xml:space="preserve">HU-09</t>
  </si>
  <si>
    <t xml:space="preserve">CA-09</t>
  </si>
  <si>
    <t xml:space="preserve">MU-08</t>
  </si>
  <si>
    <t xml:space="preserve">CP-12</t>
  </si>
  <si>
    <t xml:space="preserve">Al registrarse un diagnóstico positivo, el sistema genera una alerta asociada al lote, visible para la administración, con estado y fecha.</t>
  </si>
  <si>
    <t xml:space="preserve">16</t>
  </si>
  <si>
    <t xml:space="preserve">EV-12</t>
  </si>
  <si>
    <t xml:space="preserve">17</t>
  </si>
  <si>
    <t xml:space="preserve">Jefe polinización</t>
  </si>
  <si>
    <t xml:space="preserve">EV-03</t>
  </si>
  <si>
    <t xml:space="preserve">RF-13</t>
  </si>
  <si>
    <t xml:space="preserve">CU-03</t>
  </si>
  <si>
    <t xml:space="preserve">HU-10</t>
  </si>
  <si>
    <t xml:space="preserve">CA-10</t>
  </si>
  <si>
    <t xml:space="preserve">M-04 Polinización asistida</t>
  </si>
  <si>
    <t xml:space="preserve">CP-13</t>
  </si>
  <si>
    <t xml:space="preserve">El sistema permite registrar la polinización indicando el estado de antesis y consultar los lotes polinizados en una fecha dada.</t>
  </si>
  <si>
    <t xml:space="preserve">18</t>
  </si>
  <si>
    <t xml:space="preserve">RF-14</t>
  </si>
  <si>
    <t xml:space="preserve">HU-11</t>
  </si>
  <si>
    <t xml:space="preserve">CA-11</t>
  </si>
  <si>
    <t xml:space="preserve">MU-06</t>
  </si>
  <si>
    <t xml:space="preserve">CP-14</t>
  </si>
  <si>
    <t xml:space="preserve">Al cierre de la jornada, el sistema calcula el total de flores polinizadas por persona a partir de las marcaciones GPS, sin registro manual individual.</t>
  </si>
  <si>
    <t xml:space="preserve">19</t>
  </si>
  <si>
    <t xml:space="preserve">EV-01, EV-03</t>
  </si>
  <si>
    <t xml:space="preserve">RF-15</t>
  </si>
  <si>
    <t xml:space="preserve">CP-15</t>
  </si>
  <si>
    <t xml:space="preserve">La administración puede visualizar el recorrido de una persona trabajadora en una fecha determinada, siempre que exista consentimiento vigente.</t>
  </si>
  <si>
    <t xml:space="preserve">20</t>
  </si>
  <si>
    <t xml:space="preserve">RF-16</t>
  </si>
  <si>
    <t xml:space="preserve">CU-05</t>
  </si>
  <si>
    <t xml:space="preserve">MU-07</t>
  </si>
  <si>
    <t xml:space="preserve">CP-16</t>
  </si>
  <si>
    <t xml:space="preserve">Para un período dado, el sistema calcula un indicador de desempeño por persona a partir de sus registros, sin intervención manual.</t>
  </si>
  <si>
    <t xml:space="preserve">21</t>
  </si>
  <si>
    <t xml:space="preserve">RF-17</t>
  </si>
  <si>
    <t xml:space="preserve">CP-17</t>
  </si>
  <si>
    <t xml:space="preserve">El sistema permite consultar la precipitación acumulada en un rango de fechas definido por la persona usuaria.</t>
  </si>
  <si>
    <t xml:space="preserve">22</t>
  </si>
  <si>
    <t xml:space="preserve">RF-18</t>
  </si>
  <si>
    <t xml:space="preserve">CU-17</t>
  </si>
  <si>
    <t xml:space="preserve">HU-12</t>
  </si>
  <si>
    <t xml:space="preserve">CA-12</t>
  </si>
  <si>
    <t xml:space="preserve">M-07 Reportes, estimación e histórico</t>
  </si>
  <si>
    <t xml:space="preserve">CP-18</t>
  </si>
  <si>
    <t xml:space="preserve">A partir de un censo y de la variedad del lote, el sistema calcula una estimación de producción consultable por lote y período.</t>
  </si>
  <si>
    <t xml:space="preserve">23</t>
  </si>
  <si>
    <t xml:space="preserve">RF-19</t>
  </si>
  <si>
    <t xml:space="preserve">HU-13</t>
  </si>
  <si>
    <t xml:space="preserve">CA-13</t>
  </si>
  <si>
    <t xml:space="preserve">CP-19</t>
  </si>
  <si>
    <t xml:space="preserve">El sistema genera el consolidado semanal de labores y producción del período seleccionado y permite exportarlo.</t>
  </si>
  <si>
    <t xml:space="preserve">24</t>
  </si>
  <si>
    <t xml:space="preserve">RF-20</t>
  </si>
  <si>
    <t xml:space="preserve">CP-20</t>
  </si>
  <si>
    <t xml:space="preserve">La persona usuaria puede recuperar, filtrando por lote y rango de fechas, el historial completo de actividades y diagnósticos registrados.</t>
  </si>
  <si>
    <t xml:space="preserve">25</t>
  </si>
  <si>
    <t xml:space="preserve">Téc. extractora</t>
  </si>
  <si>
    <t xml:space="preserve">RF-21</t>
  </si>
  <si>
    <t xml:space="preserve">CU-06</t>
  </si>
  <si>
    <t xml:space="preserve">HU-14</t>
  </si>
  <si>
    <t xml:space="preserve">CA-14</t>
  </si>
  <si>
    <t xml:space="preserve">CP-21</t>
  </si>
  <si>
    <t xml:space="preserve">Para un lote de variedad híbrida, un racimo con menos de 5 frutos desprendidos se clasifica como verde; con 5 o más, como maduro. Para variedad guineensis el umbral aplicado es de 3.</t>
  </si>
  <si>
    <t xml:space="preserve">26</t>
  </si>
  <si>
    <t xml:space="preserve">EV-08</t>
  </si>
  <si>
    <t xml:space="preserve">27</t>
  </si>
  <si>
    <t xml:space="preserve">EV-04, EV-08</t>
  </si>
  <si>
    <t xml:space="preserve">RF-22</t>
  </si>
  <si>
    <t xml:space="preserve">HU-15</t>
  </si>
  <si>
    <t xml:space="preserve">CA-15</t>
  </si>
  <si>
    <t xml:space="preserve">M-06 Calidad de la fruta y relación con la extractora</t>
  </si>
  <si>
    <t xml:space="preserve">CP-22</t>
  </si>
  <si>
    <t xml:space="preserve">Configurado un umbral del 3%, un lote cuya estimación de fruta verde alcance o supere ese valor genera una alerta previa al despacho.</t>
  </si>
  <si>
    <t xml:space="preserve">28</t>
  </si>
  <si>
    <t xml:space="preserve">RF-23</t>
  </si>
  <si>
    <t xml:space="preserve">CU-10</t>
  </si>
  <si>
    <t xml:space="preserve">CP-23</t>
  </si>
  <si>
    <t xml:space="preserve">Registrado un ticket, sus valores quedan asociados al lote de origen y son consultables en el histórico de entregas.</t>
  </si>
  <si>
    <t xml:space="preserve">29</t>
  </si>
  <si>
    <t xml:space="preserve">RF-24</t>
  </si>
  <si>
    <t xml:space="preserve">CP-24</t>
  </si>
  <si>
    <t xml:space="preserve">Dado un despacho con penalización por fruta verde, el sistema identifica el lote, la fecha de corte y la cuadrilla que ejecutó la cosecha.</t>
  </si>
  <si>
    <t xml:space="preserve">30</t>
  </si>
  <si>
    <t xml:space="preserve">RF-25</t>
  </si>
  <si>
    <t xml:space="preserve">CP-25</t>
  </si>
  <si>
    <t xml:space="preserve">Configurado un umbral de 24 horas, un despacho entregado 30 horas después del corte genera la advertencia correspondiente.</t>
  </si>
  <si>
    <t xml:space="preserve">31</t>
  </si>
  <si>
    <t xml:space="preserve">RF-26</t>
  </si>
  <si>
    <t xml:space="preserve">CU-07</t>
  </si>
  <si>
    <t xml:space="preserve">HU-16</t>
  </si>
  <si>
    <t xml:space="preserve">CA-16</t>
  </si>
  <si>
    <t xml:space="preserve">M-02 Planificación y seguimiento de labores</t>
  </si>
  <si>
    <t xml:space="preserve">MU-02</t>
  </si>
  <si>
    <t xml:space="preserve">CP-26</t>
  </si>
  <si>
    <t xml:space="preserve">Al cierre de una semana, el sistema muestra para cada labor planificada la meta, el avance cumplido y el porcentaje de cumplimiento.</t>
  </si>
  <si>
    <t xml:space="preserve">32</t>
  </si>
  <si>
    <t xml:space="preserve">RF-27</t>
  </si>
  <si>
    <t xml:space="preserve">CP-27</t>
  </si>
  <si>
    <t xml:space="preserve">Dada una meta de 1.123 coronas con 800 cumplidas, el sistema genera en la semana siguiente una labor pendiente de 323 coronas vinculada a la original.</t>
  </si>
  <si>
    <t xml:space="preserve">33</t>
  </si>
  <si>
    <t xml:space="preserve">EV-05, EV-11</t>
  </si>
  <si>
    <t xml:space="preserve">RF-28</t>
  </si>
  <si>
    <t xml:space="preserve">HU-17</t>
  </si>
  <si>
    <t xml:space="preserve">CA-17</t>
  </si>
  <si>
    <t xml:space="preserve">CP-28</t>
  </si>
  <si>
    <t xml:space="preserve">Para una jornada de chapia, el sistema registra el número de matas ejecutadas y lo acumula al total semanal de la persona trabajadora.</t>
  </si>
  <si>
    <t xml:space="preserve">34</t>
  </si>
  <si>
    <t xml:space="preserve">EV-06, EV-07</t>
  </si>
  <si>
    <t xml:space="preserve">RF-29</t>
  </si>
  <si>
    <t xml:space="preserve">CU-08</t>
  </si>
  <si>
    <t xml:space="preserve">CP-29</t>
  </si>
  <si>
    <t xml:space="preserve">Una persona trabajadora consulta su avance quincenal y obtiene el desglose por labor y el valor estimado, coincidente con la suma de sus registros diarios.</t>
  </si>
  <si>
    <t xml:space="preserve">35</t>
  </si>
  <si>
    <t xml:space="preserve">RF-30</t>
  </si>
  <si>
    <t xml:space="preserve">CU-09</t>
  </si>
  <si>
    <t xml:space="preserve">HU-18</t>
  </si>
  <si>
    <t xml:space="preserve">CA-18</t>
  </si>
  <si>
    <t xml:space="preserve">CP-30</t>
  </si>
  <si>
    <t xml:space="preserve">Una incidencia reportada en campo es recuperable posteriormente con su fotografía y sus coordenadas, y su ubicación se muestra sobre el mapa del lote.</t>
  </si>
  <si>
    <t xml:space="preserve">36</t>
  </si>
  <si>
    <t xml:space="preserve">RF-31</t>
  </si>
  <si>
    <t xml:space="preserve">CP-31</t>
  </si>
  <si>
    <t xml:space="preserve">Al reportarse una incidencia, esta aparece en la lista de pendientes de la persona supervisora y desaparece al marcarse como verificada.</t>
  </si>
  <si>
    <t xml:space="preserve">37</t>
  </si>
  <si>
    <t xml:space="preserve">RF-32</t>
  </si>
  <si>
    <t xml:space="preserve">CP-32</t>
  </si>
  <si>
    <t xml:space="preserve">El archivo exportado contiene exclusivamente conteo de racimos y peso promedio por período, y no incluye ningún campo de identificación personal ni información económica.</t>
  </si>
  <si>
    <t xml:space="preserve">38</t>
  </si>
  <si>
    <t xml:space="preserve">RF-33</t>
  </si>
  <si>
    <t xml:space="preserve">Could</t>
  </si>
  <si>
    <t xml:space="preserve">CP-33</t>
  </si>
  <si>
    <t xml:space="preserve">Un despacho registrado sin número de guía de remisión genera una advertencia visible para la administración antes de su cierre.</t>
  </si>
  <si>
    <t xml:space="preserve">39</t>
  </si>
  <si>
    <t xml:space="preserve">RF-34</t>
  </si>
  <si>
    <t xml:space="preserve">CP-34</t>
  </si>
  <si>
    <t xml:space="preserve">Un insumo registrado como requerimiento de la semana aparece en el listado de la semana correspondiente con su estado de provisión.</t>
  </si>
  <si>
    <t xml:space="preserve">40</t>
  </si>
  <si>
    <t xml:space="preserve">Jefe de campo</t>
  </si>
  <si>
    <t xml:space="preserve">EV-12, EV-05</t>
  </si>
  <si>
    <t xml:space="preserve">RF-35</t>
  </si>
  <si>
    <t xml:space="preserve">HU-19</t>
  </si>
  <si>
    <t xml:space="preserve">CA-19</t>
  </si>
  <si>
    <t xml:space="preserve">CP-35</t>
  </si>
  <si>
    <t xml:space="preserve">Un avance registrado de forma delegada aparece atribuido a la persona trabajadora en su consolidado, y la bitácora identifica a la persona supervisora que lo ingresó.</t>
  </si>
  <si>
    <t xml:space="preserve">41</t>
  </si>
  <si>
    <t xml:space="preserve">RNF-01</t>
  </si>
  <si>
    <t xml:space="preserve">RNF</t>
  </si>
  <si>
    <t xml:space="preserve">M-05 Diagnóstico asistido por IA (derivado del CU)</t>
  </si>
  <si>
    <t xml:space="preserve">CP-36</t>
  </si>
  <si>
    <t xml:space="preserve">Matriz de confusión sobre conjunto etiquetado independiente de ≥ 200 imágenes.</t>
  </si>
  <si>
    <t xml:space="preserve">42</t>
  </si>
  <si>
    <t xml:space="preserve">EV-07, EV-12</t>
  </si>
  <si>
    <t xml:space="preserve">RNF-11</t>
  </si>
  <si>
    <t xml:space="preserve">M-03 Registro operativo de campo (derivado del CU)</t>
  </si>
  <si>
    <t xml:space="preserve">CP-37</t>
  </si>
  <si>
    <t xml:space="preserve">20 operaciones ejecutadas sin conexión, verificadas tras la sincronización.</t>
  </si>
  <si>
    <t xml:space="preserve">43</t>
  </si>
  <si>
    <t xml:space="preserve">RNF-05</t>
  </si>
  <si>
    <t xml:space="preserve">M-04 Polinización asistida (derivado del CU)</t>
  </si>
  <si>
    <t xml:space="preserve">CP-38</t>
  </si>
  <si>
    <t xml:space="preserve">Contraste de 10 puntos con referencia geodésica.</t>
  </si>
  <si>
    <t xml:space="preserve">44</t>
  </si>
  <si>
    <t xml:space="preserve">RNF-08</t>
  </si>
  <si>
    <t xml:space="preserve">CP-39</t>
  </si>
  <si>
    <t xml:space="preserve">Prueba de usabilidad con ≥ 5 participantes de perfil trabajador agrícola.</t>
  </si>
  <si>
    <t xml:space="preserve">45</t>
  </si>
  <si>
    <t xml:space="preserve">RNF-14</t>
  </si>
  <si>
    <t xml:space="preserve">CP-40</t>
  </si>
  <si>
    <t xml:space="preserve">Auditoría de la bitácora tras 10 accesos de prueba.</t>
  </si>
  <si>
    <t xml:space="preserve">46</t>
  </si>
  <si>
    <t xml:space="preserve">EV-01, EV-07</t>
  </si>
  <si>
    <t xml:space="preserve">RNF-16</t>
  </si>
  <si>
    <t xml:space="preserve">CU-18</t>
  </si>
  <si>
    <t xml:space="preserve">M-05 Diagnóstico asistido por IA (derivado: CU-18 es incluido por CU-01 y CU-02)</t>
  </si>
  <si>
    <t xml:space="preserve">CP-41</t>
  </si>
  <si>
    <t xml:space="preserve">Prueba con 6 participantes (3 técnicos, 3 no técnicos).</t>
  </si>
  <si>
    <t xml:space="preserve">47</t>
  </si>
  <si>
    <t xml:space="preserve">RD-10</t>
  </si>
  <si>
    <t xml:space="preserve">RD</t>
  </si>
  <si>
    <t xml:space="preserve">CP-42</t>
  </si>
  <si>
    <t xml:space="preserve">Derivada del criterio de verificación de los RF asociados al mismo CU; la Tabla 52 del ERS no fija método de verificación para las restricciones de diseño.</t>
  </si>
  <si>
    <t xml:space="preserve">48</t>
  </si>
  <si>
    <t xml:space="preserve">RD-07</t>
  </si>
  <si>
    <t xml:space="preserve">CP-43</t>
  </si>
  <si>
    <t xml:space="preserve">49</t>
  </si>
  <si>
    <t xml:space="preserve">EV-13</t>
  </si>
  <si>
    <t xml:space="preserve">RF-36</t>
  </si>
  <si>
    <t xml:space="preserve">CP-44</t>
  </si>
  <si>
    <t xml:space="preserve">Registrada una labor de tipo corona con tarifa por unidad de avance, el cálculo del valor de un registro de 400 unidades corresponde al producto entre la cantidad y la tarifa vigente en la fecha del registro.</t>
  </si>
  <si>
    <t xml:space="preserve">50</t>
  </si>
  <si>
    <t xml:space="preserve">EV-13, EV-11</t>
  </si>
  <si>
    <t xml:space="preserve">RF-37</t>
  </si>
  <si>
    <t xml:space="preserve">CP-45</t>
  </si>
  <si>
    <t xml:space="preserve">Para una semana con plan y avances registrados, el sistema presenta por cada grupo de labor la cantidad, la tarifa, el valor y el total, y calcula la diferencia entre el gasto presupuestado y el real.</t>
  </si>
  <si>
    <t xml:space="preserve">51</t>
  </si>
  <si>
    <t xml:space="preserve">RF-38</t>
  </si>
  <si>
    <t xml:space="preserve">CP-46</t>
  </si>
  <si>
    <t xml:space="preserve">Una labor registrada como no presupuestada aparece en el grupo correspondiente de la liquidación y no altera el porcentaje de cumplimiento del plan.</t>
  </si>
  <si>
    <t xml:space="preserve">52</t>
  </si>
  <si>
    <t xml:space="preserve">RF-39</t>
  </si>
  <si>
    <t xml:space="preserve">CP-47</t>
  </si>
  <si>
    <t xml:space="preserve">Aprobada una liquidación, el sistema registra la identidad de quien aprueba y la fecha, e impide modificar los registros del período sin dejar constancia.</t>
  </si>
  <si>
    <t xml:space="preserve">DIAGNÓSTICO DE COBERTURA Y ELEMENTOS HUÉRFANOS</t>
  </si>
  <si>
    <t xml:space="preserve">Calculado con fórmulas sobre la hoja Matriz_trazabilidad. Los requisitos huérfanos se reportan de forma explícita, como exige el Paso 3.4 de la guía.</t>
  </si>
  <si>
    <t xml:space="preserve">Filas de la matriz</t>
  </si>
  <si>
    <t xml:space="preserve">Requisitos funcionales distintos trazados</t>
  </si>
  <si>
    <t xml:space="preserve">Requisitos Must en la matriz (filas)</t>
  </si>
  <si>
    <t xml:space="preserve">Filas sin historia de usuario (huérfanas hacia adelante)</t>
  </si>
  <si>
    <t xml:space="preserve">Filas sin prototipo asociado</t>
  </si>
  <si>
    <t xml:space="preserve">Filas Must sin historia de usuario</t>
  </si>
  <si>
    <t xml:space="preserve">Casos de prueba definidos</t>
  </si>
  <si>
    <t xml:space="preserve">HALLAZGO</t>
  </si>
  <si>
    <t xml:space="preserve">Las filas Must sin historia de usuario corresponden a RF-36 y RF-37, ambos clasificados Must en su ficha de la §3.2. Es el defecto DEF-13 del Anexo B, y contradice la Tabla 70 del ERS, que declara 19/19 (100%) de cobertura Must con historia y criterio. Contadas las 39 fichas de la §3.2 una por una, los Must son 21, no 19: la cifra correcta es la de la §5.1 y la equivocada la de la §5.3.1 (defecto DEF-02).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</si>
</sst>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i val="true"/>
      <sz val="9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b val="true"/>
      <sz val="12"/>
      <name val="Times New Roman"/>
      <family val="0"/>
      <charset val="1"/>
    </font>
    <font>
      <sz val="1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7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7"/>
    <col collapsed="false" customWidth="true" hidden="false" outlineLevel="0" max="7" min="6" style="1" width="11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30"/>
    <col collapsed="false" customWidth="true" hidden="false" outlineLevel="0" max="12" min="11" style="1" width="12"/>
    <col collapsed="false" customWidth="true" hidden="false" outlineLevel="0" max="13" min="13" style="1" width="7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customFormat="false" ht="23.25" hidden="false" customHeight="true" outlineLevel="0" collapsed="false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</row>
    <row r="8" customFormat="false" ht="21.75" hidden="false" customHeight="true" outlineLevel="0" collapsed="false">
      <c r="A8" s="6" t="s">
        <v>16</v>
      </c>
      <c r="B8" s="7" t="s">
        <v>17</v>
      </c>
      <c r="C8" s="7" t="s">
        <v>18</v>
      </c>
      <c r="D8" s="6" t="s">
        <v>19</v>
      </c>
      <c r="E8" s="6" t="s">
        <v>20</v>
      </c>
      <c r="F8" s="6" t="s">
        <v>21</v>
      </c>
      <c r="G8" s="6" t="s">
        <v>22</v>
      </c>
      <c r="H8" s="6" t="s">
        <v>23</v>
      </c>
      <c r="I8" s="8" t="s">
        <v>24</v>
      </c>
      <c r="J8" s="9" t="s">
        <v>25</v>
      </c>
      <c r="K8" s="6" t="s">
        <v>26</v>
      </c>
      <c r="L8" s="8" t="s">
        <v>27</v>
      </c>
      <c r="M8" s="9" t="s">
        <v>28</v>
      </c>
    </row>
    <row r="9" customFormat="false" ht="21.75" hidden="false" customHeight="true" outlineLevel="0" collapsed="false">
      <c r="A9" s="6" t="s">
        <v>29</v>
      </c>
      <c r="B9" s="7" t="s">
        <v>17</v>
      </c>
      <c r="C9" s="7" t="s">
        <v>30</v>
      </c>
      <c r="D9" s="6" t="s">
        <v>31</v>
      </c>
      <c r="E9" s="6" t="s">
        <v>20</v>
      </c>
      <c r="F9" s="6" t="s">
        <v>21</v>
      </c>
      <c r="G9" s="6" t="s">
        <v>32</v>
      </c>
      <c r="H9" s="6" t="s">
        <v>33</v>
      </c>
      <c r="I9" s="8" t="s">
        <v>34</v>
      </c>
      <c r="J9" s="9" t="s">
        <v>25</v>
      </c>
      <c r="K9" s="6" t="s">
        <v>35</v>
      </c>
      <c r="L9" s="8" t="s">
        <v>36</v>
      </c>
      <c r="M9" s="9" t="s">
        <v>37</v>
      </c>
    </row>
    <row r="10" customFormat="false" ht="21.75" hidden="false" customHeight="true" outlineLevel="0" collapsed="false">
      <c r="A10" s="6" t="s">
        <v>38</v>
      </c>
      <c r="B10" s="7" t="s">
        <v>17</v>
      </c>
      <c r="C10" s="7" t="s">
        <v>39</v>
      </c>
      <c r="D10" s="6" t="s">
        <v>40</v>
      </c>
      <c r="E10" s="6" t="s">
        <v>20</v>
      </c>
      <c r="F10" s="6" t="s">
        <v>21</v>
      </c>
      <c r="G10" s="6" t="s">
        <v>41</v>
      </c>
      <c r="H10" s="6" t="s">
        <v>42</v>
      </c>
      <c r="I10" s="8" t="s">
        <v>43</v>
      </c>
      <c r="J10" s="9" t="s">
        <v>25</v>
      </c>
      <c r="K10" s="6" t="s">
        <v>44</v>
      </c>
      <c r="L10" s="8" t="s">
        <v>45</v>
      </c>
      <c r="M10" s="9" t="s">
        <v>46</v>
      </c>
    </row>
    <row r="11" customFormat="false" ht="21.75" hidden="false" customHeight="true" outlineLevel="0" collapsed="false">
      <c r="A11" s="6" t="s">
        <v>47</v>
      </c>
      <c r="B11" s="7" t="s">
        <v>48</v>
      </c>
      <c r="C11" s="7" t="s">
        <v>49</v>
      </c>
      <c r="D11" s="6" t="s">
        <v>50</v>
      </c>
      <c r="E11" s="6" t="s">
        <v>20</v>
      </c>
      <c r="F11" s="6" t="s">
        <v>21</v>
      </c>
      <c r="G11" s="6" t="s">
        <v>51</v>
      </c>
      <c r="H11" s="6" t="s">
        <v>52</v>
      </c>
      <c r="I11" s="8" t="s">
        <v>53</v>
      </c>
      <c r="J11" s="9" t="s">
        <v>54</v>
      </c>
      <c r="K11" s="6" t="s">
        <v>55</v>
      </c>
      <c r="L11" s="8" t="s">
        <v>56</v>
      </c>
      <c r="M11" s="9" t="s">
        <v>57</v>
      </c>
    </row>
    <row r="12" customFormat="false" ht="21.75" hidden="false" customHeight="true" outlineLevel="0" collapsed="false">
      <c r="A12" s="6" t="s">
        <v>58</v>
      </c>
      <c r="B12" s="7" t="s">
        <v>48</v>
      </c>
      <c r="C12" s="7" t="s">
        <v>59</v>
      </c>
      <c r="D12" s="6" t="s">
        <v>50</v>
      </c>
      <c r="E12" s="6" t="s">
        <v>20</v>
      </c>
      <c r="F12" s="6" t="s">
        <v>21</v>
      </c>
      <c r="G12" s="6" t="s">
        <v>51</v>
      </c>
      <c r="H12" s="6" t="s">
        <v>52</v>
      </c>
      <c r="I12" s="8" t="s">
        <v>53</v>
      </c>
      <c r="J12" s="9" t="s">
        <v>54</v>
      </c>
      <c r="K12" s="6" t="s">
        <v>55</v>
      </c>
      <c r="L12" s="8" t="s">
        <v>56</v>
      </c>
      <c r="M12" s="9" t="s">
        <v>57</v>
      </c>
    </row>
    <row r="13" customFormat="false" ht="21.75" hidden="false" customHeight="true" outlineLevel="0" collapsed="false">
      <c r="A13" s="6" t="s">
        <v>60</v>
      </c>
      <c r="B13" s="7" t="s">
        <v>61</v>
      </c>
      <c r="C13" s="7" t="s">
        <v>30</v>
      </c>
      <c r="D13" s="6" t="s">
        <v>62</v>
      </c>
      <c r="E13" s="6" t="s">
        <v>20</v>
      </c>
      <c r="F13" s="6" t="s">
        <v>21</v>
      </c>
      <c r="G13" s="6" t="s">
        <v>63</v>
      </c>
      <c r="H13" s="6" t="s">
        <v>64</v>
      </c>
      <c r="I13" s="8" t="s">
        <v>65</v>
      </c>
      <c r="J13" s="9" t="s">
        <v>54</v>
      </c>
      <c r="K13" s="6" t="s">
        <v>35</v>
      </c>
      <c r="L13" s="8" t="s">
        <v>66</v>
      </c>
      <c r="M13" s="9" t="s">
        <v>67</v>
      </c>
    </row>
    <row r="14" customFormat="false" ht="15" hidden="false" customHeight="true" outlineLevel="0" collapsed="false">
      <c r="A14" s="6" t="s">
        <v>68</v>
      </c>
      <c r="B14" s="7" t="s">
        <v>17</v>
      </c>
      <c r="C14" s="7" t="s">
        <v>69</v>
      </c>
      <c r="D14" s="6" t="s">
        <v>70</v>
      </c>
      <c r="E14" s="6" t="s">
        <v>20</v>
      </c>
      <c r="F14" s="6" t="s">
        <v>71</v>
      </c>
      <c r="G14" s="6" t="s">
        <v>32</v>
      </c>
      <c r="H14" s="6" t="s">
        <v>44</v>
      </c>
      <c r="I14" s="8" t="s">
        <v>44</v>
      </c>
      <c r="J14" s="9" t="s">
        <v>54</v>
      </c>
      <c r="K14" s="6" t="s">
        <v>35</v>
      </c>
      <c r="L14" s="8" t="s">
        <v>72</v>
      </c>
      <c r="M14" s="9" t="s">
        <v>73</v>
      </c>
    </row>
    <row r="15" customFormat="false" ht="21.75" hidden="false" customHeight="true" outlineLevel="0" collapsed="false">
      <c r="A15" s="6" t="s">
        <v>74</v>
      </c>
      <c r="B15" s="7" t="s">
        <v>75</v>
      </c>
      <c r="C15" s="7" t="s">
        <v>30</v>
      </c>
      <c r="D15" s="6" t="s">
        <v>76</v>
      </c>
      <c r="E15" s="6" t="s">
        <v>20</v>
      </c>
      <c r="F15" s="6" t="s">
        <v>21</v>
      </c>
      <c r="G15" s="6" t="s">
        <v>77</v>
      </c>
      <c r="H15" s="6" t="s">
        <v>78</v>
      </c>
      <c r="I15" s="8" t="s">
        <v>79</v>
      </c>
      <c r="J15" s="9" t="s">
        <v>80</v>
      </c>
      <c r="K15" s="6" t="s">
        <v>81</v>
      </c>
      <c r="L15" s="8" t="s">
        <v>82</v>
      </c>
      <c r="M15" s="9" t="s">
        <v>83</v>
      </c>
    </row>
    <row r="16" customFormat="false" ht="21.75" hidden="false" customHeight="true" outlineLevel="0" collapsed="false">
      <c r="A16" s="6" t="s">
        <v>84</v>
      </c>
      <c r="B16" s="7" t="s">
        <v>75</v>
      </c>
      <c r="C16" s="7" t="s">
        <v>85</v>
      </c>
      <c r="D16" s="6" t="s">
        <v>76</v>
      </c>
      <c r="E16" s="6" t="s">
        <v>20</v>
      </c>
      <c r="F16" s="6" t="s">
        <v>21</v>
      </c>
      <c r="G16" s="6" t="s">
        <v>77</v>
      </c>
      <c r="H16" s="6" t="s">
        <v>78</v>
      </c>
      <c r="I16" s="8" t="s">
        <v>79</v>
      </c>
      <c r="J16" s="9" t="s">
        <v>80</v>
      </c>
      <c r="K16" s="6" t="s">
        <v>81</v>
      </c>
      <c r="L16" s="8" t="s">
        <v>82</v>
      </c>
      <c r="M16" s="9" t="s">
        <v>83</v>
      </c>
    </row>
    <row r="17" customFormat="false" ht="21.75" hidden="false" customHeight="true" outlineLevel="0" collapsed="false">
      <c r="A17" s="6" t="s">
        <v>86</v>
      </c>
      <c r="B17" s="7" t="s">
        <v>87</v>
      </c>
      <c r="C17" s="7" t="s">
        <v>88</v>
      </c>
      <c r="D17" s="6" t="s">
        <v>89</v>
      </c>
      <c r="E17" s="6" t="s">
        <v>20</v>
      </c>
      <c r="F17" s="6" t="s">
        <v>21</v>
      </c>
      <c r="G17" s="6" t="s">
        <v>90</v>
      </c>
      <c r="H17" s="6" t="s">
        <v>91</v>
      </c>
      <c r="I17" s="8" t="s">
        <v>92</v>
      </c>
      <c r="J17" s="9" t="s">
        <v>80</v>
      </c>
      <c r="K17" s="6" t="s">
        <v>81</v>
      </c>
      <c r="L17" s="8" t="s">
        <v>93</v>
      </c>
      <c r="M17" s="9" t="s">
        <v>94</v>
      </c>
    </row>
    <row r="18" customFormat="false" ht="21.75" hidden="false" customHeight="true" outlineLevel="0" collapsed="false">
      <c r="A18" s="6" t="s">
        <v>95</v>
      </c>
      <c r="B18" s="7" t="s">
        <v>87</v>
      </c>
      <c r="C18" s="7" t="s">
        <v>96</v>
      </c>
      <c r="D18" s="6" t="s">
        <v>89</v>
      </c>
      <c r="E18" s="6" t="s">
        <v>20</v>
      </c>
      <c r="F18" s="6" t="s">
        <v>21</v>
      </c>
      <c r="G18" s="6" t="s">
        <v>90</v>
      </c>
      <c r="H18" s="6" t="s">
        <v>91</v>
      </c>
      <c r="I18" s="8" t="s">
        <v>92</v>
      </c>
      <c r="J18" s="9" t="s">
        <v>80</v>
      </c>
      <c r="K18" s="6" t="s">
        <v>81</v>
      </c>
      <c r="L18" s="8" t="s">
        <v>93</v>
      </c>
      <c r="M18" s="9" t="s">
        <v>94</v>
      </c>
    </row>
    <row r="19" customFormat="false" ht="21.75" hidden="false" customHeight="true" outlineLevel="0" collapsed="false">
      <c r="A19" s="6" t="s">
        <v>97</v>
      </c>
      <c r="B19" s="7" t="s">
        <v>61</v>
      </c>
      <c r="C19" s="7" t="s">
        <v>30</v>
      </c>
      <c r="D19" s="6" t="s">
        <v>98</v>
      </c>
      <c r="E19" s="6" t="s">
        <v>20</v>
      </c>
      <c r="F19" s="6" t="s">
        <v>71</v>
      </c>
      <c r="G19" s="6" t="s">
        <v>77</v>
      </c>
      <c r="H19" s="6" t="s">
        <v>44</v>
      </c>
      <c r="I19" s="8" t="s">
        <v>44</v>
      </c>
      <c r="J19" s="9" t="s">
        <v>80</v>
      </c>
      <c r="K19" s="6" t="s">
        <v>81</v>
      </c>
      <c r="L19" s="8" t="s">
        <v>99</v>
      </c>
      <c r="M19" s="9" t="s">
        <v>100</v>
      </c>
    </row>
    <row r="20" customFormat="false" ht="21.75" hidden="false" customHeight="true" outlineLevel="0" collapsed="false">
      <c r="A20" s="6" t="s">
        <v>101</v>
      </c>
      <c r="B20" s="7" t="s">
        <v>87</v>
      </c>
      <c r="C20" s="7" t="s">
        <v>96</v>
      </c>
      <c r="D20" s="6" t="s">
        <v>102</v>
      </c>
      <c r="E20" s="6" t="s">
        <v>20</v>
      </c>
      <c r="F20" s="6" t="s">
        <v>21</v>
      </c>
      <c r="G20" s="6" t="s">
        <v>32</v>
      </c>
      <c r="H20" s="6" t="s">
        <v>103</v>
      </c>
      <c r="I20" s="8" t="s">
        <v>104</v>
      </c>
      <c r="J20" s="9" t="s">
        <v>25</v>
      </c>
      <c r="K20" s="6" t="s">
        <v>35</v>
      </c>
      <c r="L20" s="8" t="s">
        <v>105</v>
      </c>
      <c r="M20" s="9" t="s">
        <v>106</v>
      </c>
    </row>
    <row r="21" customFormat="false" ht="21.75" hidden="false" customHeight="true" outlineLevel="0" collapsed="false">
      <c r="A21" s="6" t="s">
        <v>107</v>
      </c>
      <c r="B21" s="7" t="s">
        <v>87</v>
      </c>
      <c r="C21" s="7" t="s">
        <v>88</v>
      </c>
      <c r="D21" s="6" t="s">
        <v>108</v>
      </c>
      <c r="E21" s="6" t="s">
        <v>20</v>
      </c>
      <c r="F21" s="6" t="s">
        <v>71</v>
      </c>
      <c r="G21" s="6" t="s">
        <v>90</v>
      </c>
      <c r="H21" s="6" t="s">
        <v>44</v>
      </c>
      <c r="I21" s="8" t="s">
        <v>44</v>
      </c>
      <c r="J21" s="9" t="s">
        <v>54</v>
      </c>
      <c r="K21" s="6" t="s">
        <v>35</v>
      </c>
      <c r="L21" s="8" t="s">
        <v>109</v>
      </c>
      <c r="M21" s="9" t="s">
        <v>110</v>
      </c>
    </row>
    <row r="22" customFormat="false" ht="21.75" hidden="false" customHeight="true" outlineLevel="0" collapsed="false">
      <c r="A22" s="6" t="s">
        <v>111</v>
      </c>
      <c r="B22" s="7" t="s">
        <v>17</v>
      </c>
      <c r="C22" s="7" t="s">
        <v>30</v>
      </c>
      <c r="D22" s="6" t="s">
        <v>112</v>
      </c>
      <c r="E22" s="6" t="s">
        <v>20</v>
      </c>
      <c r="F22" s="6" t="s">
        <v>21</v>
      </c>
      <c r="G22" s="6" t="s">
        <v>113</v>
      </c>
      <c r="H22" s="6" t="s">
        <v>114</v>
      </c>
      <c r="I22" s="8" t="s">
        <v>115</v>
      </c>
      <c r="J22" s="9" t="s">
        <v>80</v>
      </c>
      <c r="K22" s="6" t="s">
        <v>116</v>
      </c>
      <c r="L22" s="8" t="s">
        <v>117</v>
      </c>
      <c r="M22" s="9" t="s">
        <v>118</v>
      </c>
    </row>
    <row r="23" customFormat="false" ht="21.75" hidden="false" customHeight="true" outlineLevel="0" collapsed="false">
      <c r="A23" s="6" t="s">
        <v>119</v>
      </c>
      <c r="B23" s="7" t="s">
        <v>48</v>
      </c>
      <c r="C23" s="7" t="s">
        <v>120</v>
      </c>
      <c r="D23" s="6" t="s">
        <v>112</v>
      </c>
      <c r="E23" s="6" t="s">
        <v>20</v>
      </c>
      <c r="F23" s="6" t="s">
        <v>21</v>
      </c>
      <c r="G23" s="6" t="s">
        <v>113</v>
      </c>
      <c r="H23" s="6" t="s">
        <v>114</v>
      </c>
      <c r="I23" s="8" t="s">
        <v>115</v>
      </c>
      <c r="J23" s="9" t="s">
        <v>80</v>
      </c>
      <c r="K23" s="6" t="s">
        <v>116</v>
      </c>
      <c r="L23" s="8" t="s">
        <v>117</v>
      </c>
      <c r="M23" s="9" t="s">
        <v>118</v>
      </c>
    </row>
    <row r="24" customFormat="false" ht="21.75" hidden="false" customHeight="true" outlineLevel="0" collapsed="false">
      <c r="A24" s="6" t="s">
        <v>121</v>
      </c>
      <c r="B24" s="7" t="s">
        <v>122</v>
      </c>
      <c r="C24" s="7" t="s">
        <v>123</v>
      </c>
      <c r="D24" s="6" t="s">
        <v>124</v>
      </c>
      <c r="E24" s="6" t="s">
        <v>20</v>
      </c>
      <c r="F24" s="6" t="s">
        <v>21</v>
      </c>
      <c r="G24" s="6" t="s">
        <v>125</v>
      </c>
      <c r="H24" s="6" t="s">
        <v>126</v>
      </c>
      <c r="I24" s="8" t="s">
        <v>127</v>
      </c>
      <c r="J24" s="9" t="s">
        <v>128</v>
      </c>
      <c r="K24" s="6" t="s">
        <v>55</v>
      </c>
      <c r="L24" s="8" t="s">
        <v>129</v>
      </c>
      <c r="M24" s="9" t="s">
        <v>130</v>
      </c>
    </row>
    <row r="25" customFormat="false" ht="21.75" hidden="false" customHeight="true" outlineLevel="0" collapsed="false">
      <c r="A25" s="6" t="s">
        <v>131</v>
      </c>
      <c r="B25" s="7" t="s">
        <v>122</v>
      </c>
      <c r="C25" s="7" t="s">
        <v>123</v>
      </c>
      <c r="D25" s="6" t="s">
        <v>132</v>
      </c>
      <c r="E25" s="6" t="s">
        <v>20</v>
      </c>
      <c r="F25" s="6" t="s">
        <v>21</v>
      </c>
      <c r="G25" s="6" t="s">
        <v>125</v>
      </c>
      <c r="H25" s="6" t="s">
        <v>133</v>
      </c>
      <c r="I25" s="8" t="s">
        <v>134</v>
      </c>
      <c r="J25" s="9" t="s">
        <v>128</v>
      </c>
      <c r="K25" s="6" t="s">
        <v>135</v>
      </c>
      <c r="L25" s="8" t="s">
        <v>136</v>
      </c>
      <c r="M25" s="9" t="s">
        <v>137</v>
      </c>
    </row>
    <row r="26" customFormat="false" ht="21.75" hidden="false" customHeight="true" outlineLevel="0" collapsed="false">
      <c r="A26" s="6" t="s">
        <v>138</v>
      </c>
      <c r="B26" s="7" t="s">
        <v>17</v>
      </c>
      <c r="C26" s="7" t="s">
        <v>139</v>
      </c>
      <c r="D26" s="6" t="s">
        <v>140</v>
      </c>
      <c r="E26" s="6" t="s">
        <v>20</v>
      </c>
      <c r="F26" s="6" t="s">
        <v>71</v>
      </c>
      <c r="G26" s="6" t="s">
        <v>125</v>
      </c>
      <c r="H26" s="6" t="s">
        <v>44</v>
      </c>
      <c r="I26" s="8" t="s">
        <v>44</v>
      </c>
      <c r="J26" s="9" t="s">
        <v>128</v>
      </c>
      <c r="K26" s="6" t="s">
        <v>135</v>
      </c>
      <c r="L26" s="8" t="s">
        <v>141</v>
      </c>
      <c r="M26" s="9" t="s">
        <v>142</v>
      </c>
    </row>
    <row r="27" customFormat="false" ht="21.75" hidden="false" customHeight="true" outlineLevel="0" collapsed="false">
      <c r="A27" s="6" t="s">
        <v>143</v>
      </c>
      <c r="B27" s="7" t="s">
        <v>17</v>
      </c>
      <c r="C27" s="7" t="s">
        <v>30</v>
      </c>
      <c r="D27" s="6" t="s">
        <v>144</v>
      </c>
      <c r="E27" s="6" t="s">
        <v>20</v>
      </c>
      <c r="F27" s="6" t="s">
        <v>71</v>
      </c>
      <c r="G27" s="6" t="s">
        <v>145</v>
      </c>
      <c r="H27" s="6" t="s">
        <v>44</v>
      </c>
      <c r="I27" s="8" t="s">
        <v>44</v>
      </c>
      <c r="J27" s="9" t="s">
        <v>128</v>
      </c>
      <c r="K27" s="6" t="s">
        <v>146</v>
      </c>
      <c r="L27" s="8" t="s">
        <v>147</v>
      </c>
      <c r="M27" s="9" t="s">
        <v>148</v>
      </c>
    </row>
    <row r="28" customFormat="false" ht="21.75" hidden="false" customHeight="true" outlineLevel="0" collapsed="false">
      <c r="A28" s="6" t="s">
        <v>149</v>
      </c>
      <c r="B28" s="7" t="s">
        <v>17</v>
      </c>
      <c r="C28" s="7" t="s">
        <v>30</v>
      </c>
      <c r="D28" s="6" t="s">
        <v>150</v>
      </c>
      <c r="E28" s="6" t="s">
        <v>20</v>
      </c>
      <c r="F28" s="6" t="s">
        <v>71</v>
      </c>
      <c r="G28" s="6" t="s">
        <v>145</v>
      </c>
      <c r="H28" s="6" t="s">
        <v>44</v>
      </c>
      <c r="I28" s="8" t="s">
        <v>44</v>
      </c>
      <c r="J28" s="9" t="s">
        <v>54</v>
      </c>
      <c r="K28" s="6" t="s">
        <v>35</v>
      </c>
      <c r="L28" s="8" t="s">
        <v>151</v>
      </c>
      <c r="M28" s="9" t="s">
        <v>152</v>
      </c>
    </row>
    <row r="29" customFormat="false" ht="21.75" hidden="false" customHeight="true" outlineLevel="0" collapsed="false">
      <c r="A29" s="6" t="s">
        <v>153</v>
      </c>
      <c r="B29" s="7" t="s">
        <v>17</v>
      </c>
      <c r="C29" s="7" t="s">
        <v>30</v>
      </c>
      <c r="D29" s="6" t="s">
        <v>154</v>
      </c>
      <c r="E29" s="6" t="s">
        <v>20</v>
      </c>
      <c r="F29" s="6" t="s">
        <v>21</v>
      </c>
      <c r="G29" s="6" t="s">
        <v>155</v>
      </c>
      <c r="H29" s="6" t="s">
        <v>156</v>
      </c>
      <c r="I29" s="8" t="s">
        <v>157</v>
      </c>
      <c r="J29" s="9" t="s">
        <v>158</v>
      </c>
      <c r="K29" s="6" t="s">
        <v>146</v>
      </c>
      <c r="L29" s="8" t="s">
        <v>159</v>
      </c>
      <c r="M29" s="9" t="s">
        <v>160</v>
      </c>
    </row>
    <row r="30" customFormat="false" ht="21.75" hidden="false" customHeight="true" outlineLevel="0" collapsed="false">
      <c r="A30" s="6" t="s">
        <v>161</v>
      </c>
      <c r="B30" s="7" t="s">
        <v>17</v>
      </c>
      <c r="C30" s="7" t="s">
        <v>39</v>
      </c>
      <c r="D30" s="6" t="s">
        <v>162</v>
      </c>
      <c r="E30" s="6" t="s">
        <v>20</v>
      </c>
      <c r="F30" s="6" t="s">
        <v>21</v>
      </c>
      <c r="G30" s="6" t="s">
        <v>145</v>
      </c>
      <c r="H30" s="6" t="s">
        <v>163</v>
      </c>
      <c r="I30" s="8" t="s">
        <v>164</v>
      </c>
      <c r="J30" s="9" t="s">
        <v>158</v>
      </c>
      <c r="K30" s="6" t="s">
        <v>146</v>
      </c>
      <c r="L30" s="8" t="s">
        <v>165</v>
      </c>
      <c r="M30" s="9" t="s">
        <v>166</v>
      </c>
    </row>
    <row r="31" customFormat="false" ht="21.75" hidden="false" customHeight="true" outlineLevel="0" collapsed="false">
      <c r="A31" s="6" t="s">
        <v>167</v>
      </c>
      <c r="B31" s="7" t="s">
        <v>17</v>
      </c>
      <c r="C31" s="7" t="s">
        <v>69</v>
      </c>
      <c r="D31" s="6" t="s">
        <v>168</v>
      </c>
      <c r="E31" s="6" t="s">
        <v>20</v>
      </c>
      <c r="F31" s="6" t="s">
        <v>71</v>
      </c>
      <c r="G31" s="6" t="s">
        <v>145</v>
      </c>
      <c r="H31" s="6" t="s">
        <v>44</v>
      </c>
      <c r="I31" s="8" t="s">
        <v>44</v>
      </c>
      <c r="J31" s="9" t="s">
        <v>158</v>
      </c>
      <c r="K31" s="6" t="s">
        <v>35</v>
      </c>
      <c r="L31" s="8" t="s">
        <v>169</v>
      </c>
      <c r="M31" s="9" t="s">
        <v>170</v>
      </c>
    </row>
    <row r="32" customFormat="false" ht="21.75" hidden="false" customHeight="true" outlineLevel="0" collapsed="false">
      <c r="A32" s="6" t="s">
        <v>171</v>
      </c>
      <c r="B32" s="7" t="s">
        <v>172</v>
      </c>
      <c r="C32" s="7" t="s">
        <v>96</v>
      </c>
      <c r="D32" s="6" t="s">
        <v>173</v>
      </c>
      <c r="E32" s="6" t="s">
        <v>20</v>
      </c>
      <c r="F32" s="6" t="s">
        <v>21</v>
      </c>
      <c r="G32" s="6" t="s">
        <v>174</v>
      </c>
      <c r="H32" s="6" t="s">
        <v>175</v>
      </c>
      <c r="I32" s="8" t="s">
        <v>176</v>
      </c>
      <c r="J32" s="9" t="s">
        <v>80</v>
      </c>
      <c r="K32" s="6" t="s">
        <v>81</v>
      </c>
      <c r="L32" s="8" t="s">
        <v>177</v>
      </c>
      <c r="M32" s="9" t="s">
        <v>178</v>
      </c>
    </row>
    <row r="33" customFormat="false" ht="21.75" hidden="false" customHeight="true" outlineLevel="0" collapsed="false">
      <c r="A33" s="6" t="s">
        <v>179</v>
      </c>
      <c r="B33" s="7" t="s">
        <v>172</v>
      </c>
      <c r="C33" s="7" t="s">
        <v>180</v>
      </c>
      <c r="D33" s="6" t="s">
        <v>173</v>
      </c>
      <c r="E33" s="6" t="s">
        <v>20</v>
      </c>
      <c r="F33" s="6" t="s">
        <v>21</v>
      </c>
      <c r="G33" s="6" t="s">
        <v>174</v>
      </c>
      <c r="H33" s="6" t="s">
        <v>175</v>
      </c>
      <c r="I33" s="8" t="s">
        <v>176</v>
      </c>
      <c r="J33" s="9" t="s">
        <v>80</v>
      </c>
      <c r="K33" s="6" t="s">
        <v>81</v>
      </c>
      <c r="L33" s="8" t="s">
        <v>177</v>
      </c>
      <c r="M33" s="9" t="s">
        <v>178</v>
      </c>
    </row>
    <row r="34" customFormat="false" ht="21.75" hidden="false" customHeight="true" outlineLevel="0" collapsed="false">
      <c r="A34" s="6" t="s">
        <v>181</v>
      </c>
      <c r="B34" s="7" t="s">
        <v>17</v>
      </c>
      <c r="C34" s="7" t="s">
        <v>182</v>
      </c>
      <c r="D34" s="6" t="s">
        <v>183</v>
      </c>
      <c r="E34" s="6" t="s">
        <v>20</v>
      </c>
      <c r="F34" s="6" t="s">
        <v>21</v>
      </c>
      <c r="G34" s="6" t="s">
        <v>174</v>
      </c>
      <c r="H34" s="6" t="s">
        <v>184</v>
      </c>
      <c r="I34" s="8" t="s">
        <v>185</v>
      </c>
      <c r="J34" s="9" t="s">
        <v>186</v>
      </c>
      <c r="K34" s="6" t="s">
        <v>116</v>
      </c>
      <c r="L34" s="8" t="s">
        <v>187</v>
      </c>
      <c r="M34" s="9" t="s">
        <v>188</v>
      </c>
    </row>
    <row r="35" customFormat="false" ht="21.75" hidden="false" customHeight="true" outlineLevel="0" collapsed="false">
      <c r="A35" s="6" t="s">
        <v>189</v>
      </c>
      <c r="B35" s="7" t="s">
        <v>17</v>
      </c>
      <c r="C35" s="7" t="s">
        <v>96</v>
      </c>
      <c r="D35" s="6" t="s">
        <v>190</v>
      </c>
      <c r="E35" s="6" t="s">
        <v>20</v>
      </c>
      <c r="F35" s="6" t="s">
        <v>71</v>
      </c>
      <c r="G35" s="6" t="s">
        <v>191</v>
      </c>
      <c r="H35" s="6" t="s">
        <v>44</v>
      </c>
      <c r="I35" s="8" t="s">
        <v>44</v>
      </c>
      <c r="J35" s="9" t="s">
        <v>186</v>
      </c>
      <c r="K35" s="6" t="s">
        <v>146</v>
      </c>
      <c r="L35" s="8" t="s">
        <v>192</v>
      </c>
      <c r="M35" s="9" t="s">
        <v>193</v>
      </c>
    </row>
    <row r="36" customFormat="false" ht="21.75" hidden="false" customHeight="true" outlineLevel="0" collapsed="false">
      <c r="A36" s="6" t="s">
        <v>194</v>
      </c>
      <c r="B36" s="7" t="s">
        <v>172</v>
      </c>
      <c r="C36" s="7" t="s">
        <v>182</v>
      </c>
      <c r="D36" s="6" t="s">
        <v>195</v>
      </c>
      <c r="E36" s="6" t="s">
        <v>20</v>
      </c>
      <c r="F36" s="6" t="s">
        <v>71</v>
      </c>
      <c r="G36" s="6" t="s">
        <v>191</v>
      </c>
      <c r="H36" s="6" t="s">
        <v>44</v>
      </c>
      <c r="I36" s="8" t="s">
        <v>44</v>
      </c>
      <c r="J36" s="9" t="s">
        <v>186</v>
      </c>
      <c r="K36" s="6" t="s">
        <v>146</v>
      </c>
      <c r="L36" s="8" t="s">
        <v>196</v>
      </c>
      <c r="M36" s="9" t="s">
        <v>197</v>
      </c>
    </row>
    <row r="37" customFormat="false" ht="21.75" hidden="false" customHeight="true" outlineLevel="0" collapsed="false">
      <c r="A37" s="6" t="s">
        <v>198</v>
      </c>
      <c r="B37" s="7" t="s">
        <v>172</v>
      </c>
      <c r="C37" s="7" t="s">
        <v>96</v>
      </c>
      <c r="D37" s="6" t="s">
        <v>199</v>
      </c>
      <c r="E37" s="6" t="s">
        <v>20</v>
      </c>
      <c r="F37" s="6" t="s">
        <v>71</v>
      </c>
      <c r="G37" s="6" t="s">
        <v>191</v>
      </c>
      <c r="H37" s="6" t="s">
        <v>44</v>
      </c>
      <c r="I37" s="8" t="s">
        <v>44</v>
      </c>
      <c r="J37" s="9" t="s">
        <v>186</v>
      </c>
      <c r="K37" s="6" t="s">
        <v>146</v>
      </c>
      <c r="L37" s="8" t="s">
        <v>200</v>
      </c>
      <c r="M37" s="9" t="s">
        <v>201</v>
      </c>
    </row>
    <row r="38" customFormat="false" ht="21.75" hidden="false" customHeight="true" outlineLevel="0" collapsed="false">
      <c r="A38" s="6" t="s">
        <v>202</v>
      </c>
      <c r="B38" s="7" t="s">
        <v>17</v>
      </c>
      <c r="C38" s="7" t="s">
        <v>59</v>
      </c>
      <c r="D38" s="6" t="s">
        <v>203</v>
      </c>
      <c r="E38" s="6" t="s">
        <v>20</v>
      </c>
      <c r="F38" s="6" t="s">
        <v>21</v>
      </c>
      <c r="G38" s="6" t="s">
        <v>204</v>
      </c>
      <c r="H38" s="6" t="s">
        <v>205</v>
      </c>
      <c r="I38" s="8" t="s">
        <v>206</v>
      </c>
      <c r="J38" s="9" t="s">
        <v>207</v>
      </c>
      <c r="K38" s="6" t="s">
        <v>208</v>
      </c>
      <c r="L38" s="8" t="s">
        <v>209</v>
      </c>
      <c r="M38" s="9" t="s">
        <v>210</v>
      </c>
    </row>
    <row r="39" customFormat="false" ht="21.75" hidden="false" customHeight="true" outlineLevel="0" collapsed="false">
      <c r="A39" s="6" t="s">
        <v>211</v>
      </c>
      <c r="B39" s="7" t="s">
        <v>17</v>
      </c>
      <c r="C39" s="7" t="s">
        <v>59</v>
      </c>
      <c r="D39" s="6" t="s">
        <v>212</v>
      </c>
      <c r="E39" s="6" t="s">
        <v>20</v>
      </c>
      <c r="F39" s="6" t="s">
        <v>71</v>
      </c>
      <c r="G39" s="6" t="s">
        <v>204</v>
      </c>
      <c r="H39" s="6" t="s">
        <v>44</v>
      </c>
      <c r="I39" s="8" t="s">
        <v>44</v>
      </c>
      <c r="J39" s="9" t="s">
        <v>207</v>
      </c>
      <c r="K39" s="6" t="s">
        <v>208</v>
      </c>
      <c r="L39" s="8" t="s">
        <v>213</v>
      </c>
      <c r="M39" s="9" t="s">
        <v>214</v>
      </c>
    </row>
    <row r="40" customFormat="false" ht="21.75" hidden="false" customHeight="true" outlineLevel="0" collapsed="false">
      <c r="A40" s="6" t="s">
        <v>215</v>
      </c>
      <c r="B40" s="7" t="s">
        <v>48</v>
      </c>
      <c r="C40" s="7" t="s">
        <v>216</v>
      </c>
      <c r="D40" s="6" t="s">
        <v>217</v>
      </c>
      <c r="E40" s="6" t="s">
        <v>20</v>
      </c>
      <c r="F40" s="6" t="s">
        <v>21</v>
      </c>
      <c r="G40" s="6" t="s">
        <v>51</v>
      </c>
      <c r="H40" s="6" t="s">
        <v>218</v>
      </c>
      <c r="I40" s="8" t="s">
        <v>219</v>
      </c>
      <c r="J40" s="9" t="s">
        <v>54</v>
      </c>
      <c r="K40" s="6" t="s">
        <v>55</v>
      </c>
      <c r="L40" s="8" t="s">
        <v>220</v>
      </c>
      <c r="M40" s="9" t="s">
        <v>221</v>
      </c>
    </row>
    <row r="41" customFormat="false" ht="21.75" hidden="false" customHeight="true" outlineLevel="0" collapsed="false">
      <c r="A41" s="6" t="s">
        <v>222</v>
      </c>
      <c r="B41" s="7" t="s">
        <v>48</v>
      </c>
      <c r="C41" s="7" t="s">
        <v>223</v>
      </c>
      <c r="D41" s="6" t="s">
        <v>224</v>
      </c>
      <c r="E41" s="6" t="s">
        <v>20</v>
      </c>
      <c r="F41" s="6" t="s">
        <v>71</v>
      </c>
      <c r="G41" s="6" t="s">
        <v>225</v>
      </c>
      <c r="H41" s="6" t="s">
        <v>44</v>
      </c>
      <c r="I41" s="8" t="s">
        <v>44</v>
      </c>
      <c r="J41" s="9" t="s">
        <v>54</v>
      </c>
      <c r="K41" s="6" t="s">
        <v>208</v>
      </c>
      <c r="L41" s="8" t="s">
        <v>226</v>
      </c>
      <c r="M41" s="9" t="s">
        <v>227</v>
      </c>
    </row>
    <row r="42" customFormat="false" ht="21.75" hidden="false" customHeight="true" outlineLevel="0" collapsed="false">
      <c r="A42" s="6" t="s">
        <v>228</v>
      </c>
      <c r="B42" s="7" t="s">
        <v>75</v>
      </c>
      <c r="C42" s="7" t="s">
        <v>85</v>
      </c>
      <c r="D42" s="6" t="s">
        <v>229</v>
      </c>
      <c r="E42" s="6" t="s">
        <v>20</v>
      </c>
      <c r="F42" s="6" t="s">
        <v>21</v>
      </c>
      <c r="G42" s="6" t="s">
        <v>230</v>
      </c>
      <c r="H42" s="6" t="s">
        <v>231</v>
      </c>
      <c r="I42" s="8" t="s">
        <v>232</v>
      </c>
      <c r="J42" s="9" t="s">
        <v>54</v>
      </c>
      <c r="K42" s="6" t="s">
        <v>135</v>
      </c>
      <c r="L42" s="8" t="s">
        <v>233</v>
      </c>
      <c r="M42" s="9" t="s">
        <v>234</v>
      </c>
    </row>
    <row r="43" customFormat="false" ht="21.75" hidden="false" customHeight="true" outlineLevel="0" collapsed="false">
      <c r="A43" s="6" t="s">
        <v>235</v>
      </c>
      <c r="B43" s="7" t="s">
        <v>75</v>
      </c>
      <c r="C43" s="7" t="s">
        <v>85</v>
      </c>
      <c r="D43" s="6" t="s">
        <v>236</v>
      </c>
      <c r="E43" s="6" t="s">
        <v>20</v>
      </c>
      <c r="F43" s="6" t="s">
        <v>71</v>
      </c>
      <c r="G43" s="6" t="s">
        <v>230</v>
      </c>
      <c r="H43" s="6" t="s">
        <v>44</v>
      </c>
      <c r="I43" s="8" t="s">
        <v>44</v>
      </c>
      <c r="J43" s="9" t="s">
        <v>54</v>
      </c>
      <c r="K43" s="6" t="s">
        <v>116</v>
      </c>
      <c r="L43" s="8" t="s">
        <v>237</v>
      </c>
      <c r="M43" s="9" t="s">
        <v>238</v>
      </c>
    </row>
    <row r="44" customFormat="false" ht="21.75" hidden="false" customHeight="true" outlineLevel="0" collapsed="false">
      <c r="A44" s="6" t="s">
        <v>239</v>
      </c>
      <c r="B44" s="7" t="s">
        <v>172</v>
      </c>
      <c r="C44" s="7" t="s">
        <v>96</v>
      </c>
      <c r="D44" s="6" t="s">
        <v>240</v>
      </c>
      <c r="E44" s="6" t="s">
        <v>20</v>
      </c>
      <c r="F44" s="6" t="s">
        <v>71</v>
      </c>
      <c r="G44" s="6" t="s">
        <v>155</v>
      </c>
      <c r="H44" s="6" t="s">
        <v>44</v>
      </c>
      <c r="I44" s="8" t="s">
        <v>44</v>
      </c>
      <c r="J44" s="9" t="s">
        <v>158</v>
      </c>
      <c r="K44" s="6" t="s">
        <v>146</v>
      </c>
      <c r="L44" s="8" t="s">
        <v>241</v>
      </c>
      <c r="M44" s="9" t="s">
        <v>242</v>
      </c>
    </row>
    <row r="45" customFormat="false" ht="21.75" hidden="false" customHeight="true" outlineLevel="0" collapsed="false">
      <c r="A45" s="6" t="s">
        <v>243</v>
      </c>
      <c r="B45" s="7" t="s">
        <v>172</v>
      </c>
      <c r="C45" s="7" t="s">
        <v>96</v>
      </c>
      <c r="D45" s="6" t="s">
        <v>244</v>
      </c>
      <c r="E45" s="6" t="s">
        <v>20</v>
      </c>
      <c r="F45" s="6" t="s">
        <v>245</v>
      </c>
      <c r="G45" s="6" t="s">
        <v>191</v>
      </c>
      <c r="H45" s="6" t="s">
        <v>44</v>
      </c>
      <c r="I45" s="8" t="s">
        <v>44</v>
      </c>
      <c r="J45" s="9" t="s">
        <v>186</v>
      </c>
      <c r="K45" s="6" t="s">
        <v>146</v>
      </c>
      <c r="L45" s="8" t="s">
        <v>246</v>
      </c>
      <c r="M45" s="9" t="s">
        <v>247</v>
      </c>
    </row>
    <row r="46" customFormat="false" ht="21.75" hidden="false" customHeight="true" outlineLevel="0" collapsed="false">
      <c r="A46" s="6" t="s">
        <v>248</v>
      </c>
      <c r="B46" s="7" t="s">
        <v>17</v>
      </c>
      <c r="C46" s="7" t="s">
        <v>59</v>
      </c>
      <c r="D46" s="6" t="s">
        <v>249</v>
      </c>
      <c r="E46" s="6" t="s">
        <v>20</v>
      </c>
      <c r="F46" s="6" t="s">
        <v>245</v>
      </c>
      <c r="G46" s="6" t="s">
        <v>204</v>
      </c>
      <c r="H46" s="6" t="s">
        <v>44</v>
      </c>
      <c r="I46" s="8" t="s">
        <v>44</v>
      </c>
      <c r="J46" s="9" t="s">
        <v>207</v>
      </c>
      <c r="K46" s="6" t="s">
        <v>208</v>
      </c>
      <c r="L46" s="8" t="s">
        <v>250</v>
      </c>
      <c r="M46" s="9" t="s">
        <v>251</v>
      </c>
    </row>
    <row r="47" customFormat="false" ht="21.75" hidden="false" customHeight="true" outlineLevel="0" collapsed="false">
      <c r="A47" s="6" t="s">
        <v>252</v>
      </c>
      <c r="B47" s="7" t="s">
        <v>253</v>
      </c>
      <c r="C47" s="7" t="s">
        <v>254</v>
      </c>
      <c r="D47" s="6" t="s">
        <v>255</v>
      </c>
      <c r="E47" s="6" t="s">
        <v>20</v>
      </c>
      <c r="F47" s="6" t="s">
        <v>21</v>
      </c>
      <c r="G47" s="6" t="s">
        <v>51</v>
      </c>
      <c r="H47" s="6" t="s">
        <v>256</v>
      </c>
      <c r="I47" s="8" t="s">
        <v>257</v>
      </c>
      <c r="J47" s="9" t="s">
        <v>207</v>
      </c>
      <c r="K47" s="6" t="s">
        <v>55</v>
      </c>
      <c r="L47" s="8" t="s">
        <v>258</v>
      </c>
      <c r="M47" s="9" t="s">
        <v>259</v>
      </c>
    </row>
    <row r="48" customFormat="false" ht="21.75" hidden="false" customHeight="true" outlineLevel="0" collapsed="false">
      <c r="A48" s="6" t="s">
        <v>260</v>
      </c>
      <c r="B48" s="7" t="s">
        <v>172</v>
      </c>
      <c r="C48" s="7" t="s">
        <v>96</v>
      </c>
      <c r="D48" s="6" t="s">
        <v>261</v>
      </c>
      <c r="E48" s="6" t="s">
        <v>262</v>
      </c>
      <c r="F48" s="6" t="s">
        <v>21</v>
      </c>
      <c r="G48" s="6" t="s">
        <v>174</v>
      </c>
      <c r="H48" s="6" t="s">
        <v>175</v>
      </c>
      <c r="I48" s="8" t="s">
        <v>176</v>
      </c>
      <c r="J48" s="9" t="s">
        <v>263</v>
      </c>
      <c r="K48" s="6" t="s">
        <v>81</v>
      </c>
      <c r="L48" s="8" t="s">
        <v>264</v>
      </c>
      <c r="M48" s="9" t="s">
        <v>265</v>
      </c>
    </row>
    <row r="49" customFormat="false" ht="21.75" hidden="false" customHeight="true" outlineLevel="0" collapsed="false">
      <c r="A49" s="6" t="s">
        <v>266</v>
      </c>
      <c r="B49" s="7" t="s">
        <v>48</v>
      </c>
      <c r="C49" s="7" t="s">
        <v>267</v>
      </c>
      <c r="D49" s="6" t="s">
        <v>268</v>
      </c>
      <c r="E49" s="6" t="s">
        <v>262</v>
      </c>
      <c r="F49" s="6" t="s">
        <v>21</v>
      </c>
      <c r="G49" s="6" t="s">
        <v>51</v>
      </c>
      <c r="H49" s="6" t="s">
        <v>52</v>
      </c>
      <c r="I49" s="8" t="s">
        <v>53</v>
      </c>
      <c r="J49" s="9" t="s">
        <v>269</v>
      </c>
      <c r="K49" s="6" t="s">
        <v>55</v>
      </c>
      <c r="L49" s="8" t="s">
        <v>270</v>
      </c>
      <c r="M49" s="9" t="s">
        <v>271</v>
      </c>
    </row>
    <row r="50" customFormat="false" ht="21.75" hidden="false" customHeight="true" outlineLevel="0" collapsed="false">
      <c r="A50" s="6" t="s">
        <v>272</v>
      </c>
      <c r="B50" s="7" t="s">
        <v>122</v>
      </c>
      <c r="C50" s="7" t="s">
        <v>123</v>
      </c>
      <c r="D50" s="6" t="s">
        <v>273</v>
      </c>
      <c r="E50" s="6" t="s">
        <v>262</v>
      </c>
      <c r="F50" s="6" t="s">
        <v>71</v>
      </c>
      <c r="G50" s="6" t="s">
        <v>125</v>
      </c>
      <c r="H50" s="6" t="s">
        <v>133</v>
      </c>
      <c r="I50" s="8" t="s">
        <v>134</v>
      </c>
      <c r="J50" s="9" t="s">
        <v>274</v>
      </c>
      <c r="K50" s="6" t="s">
        <v>135</v>
      </c>
      <c r="L50" s="8" t="s">
        <v>275</v>
      </c>
      <c r="M50" s="9" t="s">
        <v>276</v>
      </c>
    </row>
    <row r="51" customFormat="false" ht="21.75" hidden="false" customHeight="true" outlineLevel="0" collapsed="false">
      <c r="A51" s="6" t="s">
        <v>277</v>
      </c>
      <c r="B51" s="7" t="s">
        <v>48</v>
      </c>
      <c r="C51" s="7" t="s">
        <v>120</v>
      </c>
      <c r="D51" s="6" t="s">
        <v>278</v>
      </c>
      <c r="E51" s="6" t="s">
        <v>262</v>
      </c>
      <c r="F51" s="6" t="s">
        <v>21</v>
      </c>
      <c r="G51" s="6" t="s">
        <v>51</v>
      </c>
      <c r="H51" s="6" t="s">
        <v>52</v>
      </c>
      <c r="I51" s="8" t="s">
        <v>53</v>
      </c>
      <c r="J51" s="9" t="s">
        <v>269</v>
      </c>
      <c r="K51" s="6" t="s">
        <v>55</v>
      </c>
      <c r="L51" s="8" t="s">
        <v>279</v>
      </c>
      <c r="M51" s="9" t="s">
        <v>280</v>
      </c>
    </row>
    <row r="52" customFormat="false" ht="21.75" hidden="false" customHeight="true" outlineLevel="0" collapsed="false">
      <c r="A52" s="6" t="s">
        <v>281</v>
      </c>
      <c r="B52" s="7" t="s">
        <v>48</v>
      </c>
      <c r="C52" s="7" t="s">
        <v>120</v>
      </c>
      <c r="D52" s="6" t="s">
        <v>282</v>
      </c>
      <c r="E52" s="6" t="s">
        <v>262</v>
      </c>
      <c r="F52" s="6" t="s">
        <v>21</v>
      </c>
      <c r="G52" s="6" t="s">
        <v>125</v>
      </c>
      <c r="H52" s="6" t="s">
        <v>133</v>
      </c>
      <c r="I52" s="8" t="s">
        <v>134</v>
      </c>
      <c r="J52" s="9" t="s">
        <v>274</v>
      </c>
      <c r="K52" s="6" t="s">
        <v>135</v>
      </c>
      <c r="L52" s="8" t="s">
        <v>283</v>
      </c>
      <c r="M52" s="9" t="s">
        <v>284</v>
      </c>
    </row>
    <row r="53" customFormat="false" ht="15" hidden="false" customHeight="true" outlineLevel="0" collapsed="false">
      <c r="A53" s="6" t="s">
        <v>285</v>
      </c>
      <c r="B53" s="7" t="s">
        <v>75</v>
      </c>
      <c r="C53" s="7" t="s">
        <v>286</v>
      </c>
      <c r="D53" s="6" t="s">
        <v>287</v>
      </c>
      <c r="E53" s="6" t="s">
        <v>262</v>
      </c>
      <c r="F53" s="6" t="s">
        <v>21</v>
      </c>
      <c r="G53" s="6" t="s">
        <v>288</v>
      </c>
      <c r="H53" s="6" t="s">
        <v>78</v>
      </c>
      <c r="I53" s="8" t="s">
        <v>79</v>
      </c>
      <c r="J53" s="9" t="s">
        <v>289</v>
      </c>
      <c r="K53" s="6" t="s">
        <v>81</v>
      </c>
      <c r="L53" s="8" t="s">
        <v>290</v>
      </c>
      <c r="M53" s="9" t="s">
        <v>291</v>
      </c>
    </row>
    <row r="54" customFormat="false" ht="21.75" hidden="false" customHeight="true" outlineLevel="0" collapsed="false">
      <c r="A54" s="6" t="s">
        <v>292</v>
      </c>
      <c r="B54" s="7" t="s">
        <v>48</v>
      </c>
      <c r="C54" s="7" t="s">
        <v>120</v>
      </c>
      <c r="D54" s="6" t="s">
        <v>293</v>
      </c>
      <c r="E54" s="6" t="s">
        <v>294</v>
      </c>
      <c r="F54" s="6" t="s">
        <v>21</v>
      </c>
      <c r="G54" s="6" t="s">
        <v>51</v>
      </c>
      <c r="H54" s="6" t="s">
        <v>256</v>
      </c>
      <c r="I54" s="8" t="s">
        <v>257</v>
      </c>
      <c r="J54" s="9" t="s">
        <v>269</v>
      </c>
      <c r="K54" s="6" t="s">
        <v>55</v>
      </c>
      <c r="L54" s="8" t="s">
        <v>295</v>
      </c>
      <c r="M54" s="9" t="s">
        <v>296</v>
      </c>
    </row>
    <row r="55" customFormat="false" ht="21.75" hidden="false" customHeight="true" outlineLevel="0" collapsed="false">
      <c r="A55" s="6" t="s">
        <v>297</v>
      </c>
      <c r="B55" s="7" t="s">
        <v>172</v>
      </c>
      <c r="C55" s="7" t="s">
        <v>180</v>
      </c>
      <c r="D55" s="6" t="s">
        <v>298</v>
      </c>
      <c r="E55" s="6" t="s">
        <v>294</v>
      </c>
      <c r="F55" s="6" t="s">
        <v>21</v>
      </c>
      <c r="G55" s="6" t="s">
        <v>174</v>
      </c>
      <c r="H55" s="6" t="s">
        <v>175</v>
      </c>
      <c r="I55" s="8" t="s">
        <v>176</v>
      </c>
      <c r="J55" s="9" t="s">
        <v>263</v>
      </c>
      <c r="K55" s="6" t="s">
        <v>81</v>
      </c>
      <c r="L55" s="8" t="s">
        <v>299</v>
      </c>
      <c r="M55" s="9" t="s">
        <v>296</v>
      </c>
    </row>
    <row r="56" customFormat="false" ht="21.75" hidden="false" customHeight="true" outlineLevel="0" collapsed="false">
      <c r="A56" s="6" t="s">
        <v>300</v>
      </c>
      <c r="B56" s="7" t="s">
        <v>17</v>
      </c>
      <c r="C56" s="7" t="s">
        <v>301</v>
      </c>
      <c r="D56" s="6" t="s">
        <v>302</v>
      </c>
      <c r="E56" s="6" t="s">
        <v>20</v>
      </c>
      <c r="F56" s="6" t="s">
        <v>21</v>
      </c>
      <c r="G56" s="6" t="s">
        <v>225</v>
      </c>
      <c r="H56" s="6" t="s">
        <v>44</v>
      </c>
      <c r="I56" s="8" t="s">
        <v>44</v>
      </c>
      <c r="J56" s="9" t="s">
        <v>207</v>
      </c>
      <c r="K56" s="6" t="s">
        <v>208</v>
      </c>
      <c r="L56" s="8" t="s">
        <v>303</v>
      </c>
      <c r="M56" s="9" t="s">
        <v>304</v>
      </c>
    </row>
    <row r="57" customFormat="false" ht="21.75" hidden="false" customHeight="true" outlineLevel="0" collapsed="false">
      <c r="A57" s="6" t="s">
        <v>305</v>
      </c>
      <c r="B57" s="7" t="s">
        <v>17</v>
      </c>
      <c r="C57" s="7" t="s">
        <v>306</v>
      </c>
      <c r="D57" s="6" t="s">
        <v>307</v>
      </c>
      <c r="E57" s="6" t="s">
        <v>20</v>
      </c>
      <c r="F57" s="6" t="s">
        <v>21</v>
      </c>
      <c r="G57" s="6" t="s">
        <v>204</v>
      </c>
      <c r="H57" s="6" t="s">
        <v>44</v>
      </c>
      <c r="I57" s="8" t="s">
        <v>44</v>
      </c>
      <c r="J57" s="9" t="s">
        <v>207</v>
      </c>
      <c r="K57" s="6" t="s">
        <v>208</v>
      </c>
      <c r="L57" s="8" t="s">
        <v>308</v>
      </c>
      <c r="M57" s="9" t="s">
        <v>309</v>
      </c>
    </row>
    <row r="58" customFormat="false" ht="21.75" hidden="false" customHeight="true" outlineLevel="0" collapsed="false">
      <c r="A58" s="6" t="s">
        <v>310</v>
      </c>
      <c r="B58" s="7" t="s">
        <v>17</v>
      </c>
      <c r="C58" s="7" t="s">
        <v>301</v>
      </c>
      <c r="D58" s="6" t="s">
        <v>311</v>
      </c>
      <c r="E58" s="6" t="s">
        <v>20</v>
      </c>
      <c r="F58" s="6" t="s">
        <v>71</v>
      </c>
      <c r="G58" s="6" t="s">
        <v>204</v>
      </c>
      <c r="H58" s="6" t="s">
        <v>44</v>
      </c>
      <c r="I58" s="8" t="s">
        <v>44</v>
      </c>
      <c r="J58" s="9" t="s">
        <v>207</v>
      </c>
      <c r="K58" s="6" t="s">
        <v>208</v>
      </c>
      <c r="L58" s="8" t="s">
        <v>312</v>
      </c>
      <c r="M58" s="9" t="s">
        <v>313</v>
      </c>
    </row>
    <row r="59" customFormat="false" ht="21.75" hidden="false" customHeight="true" outlineLevel="0" collapsed="false">
      <c r="A59" s="6" t="s">
        <v>314</v>
      </c>
      <c r="B59" s="7" t="s">
        <v>17</v>
      </c>
      <c r="C59" s="7" t="s">
        <v>301</v>
      </c>
      <c r="D59" s="6" t="s">
        <v>315</v>
      </c>
      <c r="E59" s="6" t="s">
        <v>20</v>
      </c>
      <c r="F59" s="6" t="s">
        <v>71</v>
      </c>
      <c r="G59" s="6" t="s">
        <v>204</v>
      </c>
      <c r="H59" s="6" t="s">
        <v>44</v>
      </c>
      <c r="I59" s="8" t="s">
        <v>44</v>
      </c>
      <c r="J59" s="9" t="s">
        <v>207</v>
      </c>
      <c r="K59" s="6" t="s">
        <v>208</v>
      </c>
      <c r="L59" s="8" t="s">
        <v>316</v>
      </c>
      <c r="M59" s="9" t="s">
        <v>317</v>
      </c>
    </row>
  </sheetData>
  <autoFilter ref="A7:M59"/>
  <mergeCells count="1">
    <mergeCell ref="A3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2"/>
    <col collapsed="false" customWidth="true" hidden="false" outlineLevel="0" max="3" min="3" style="1" width="90"/>
  </cols>
  <sheetData>
    <row r="1" customFormat="false" ht="15" hidden="false" customHeight="true" outlineLevel="0" collapsed="false">
      <c r="A1" s="10" t="s">
        <v>318</v>
      </c>
    </row>
    <row r="2" customFormat="false" ht="15" hidden="false" customHeight="true" outlineLevel="0" collapsed="false">
      <c r="A2" s="3" t="s">
        <v>319</v>
      </c>
    </row>
    <row r="4" customFormat="false" ht="15" hidden="false" customHeight="true" outlineLevel="0" collapsed="false">
      <c r="A4" s="11" t="s">
        <v>320</v>
      </c>
      <c r="B4" s="12" t="n">
        <f aca="false">COUNTA(Matriz_trazabilidad!A8:A59)</f>
        <v>52</v>
      </c>
    </row>
    <row r="5" customFormat="false" ht="15" hidden="false" customHeight="true" outlineLevel="0" collapsed="false">
      <c r="A5" s="11" t="s">
        <v>321</v>
      </c>
      <c r="B5" s="12" t="n">
        <f aca="false">SUMPRODUCT((Matriz_trazabilidad!$E$8:$E$59="RF")/(COUNTIFS(Matriz_trazabilidad!$D$8:$D$59,Matriz_trazabilidad!$D$8:$D$59,Matriz_trazabilidad!$E$8:$E$59,"RF")+(Matriz_trazabilidad!$E$8:$E$59&lt;&gt;"RF")))</f>
        <v>39</v>
      </c>
    </row>
    <row r="6" customFormat="false" ht="15" hidden="false" customHeight="true" outlineLevel="0" collapsed="false">
      <c r="A6" s="11" t="s">
        <v>322</v>
      </c>
      <c r="B6" s="12" t="n">
        <f aca="false">COUNTIF(Matriz_trazabilidad!$F$8:$F$59,"Must")</f>
        <v>33</v>
      </c>
    </row>
    <row r="7" customFormat="false" ht="15" hidden="false" customHeight="true" outlineLevel="0" collapsed="false">
      <c r="A7" s="11" t="s">
        <v>323</v>
      </c>
      <c r="B7" s="12" t="n">
        <f aca="false">COUNTIF(Matriz_trazabilidad!$H$8:$H$59,"—")</f>
        <v>20</v>
      </c>
    </row>
    <row r="8" customFormat="false" ht="15" hidden="false" customHeight="true" outlineLevel="0" collapsed="false">
      <c r="A8" s="11" t="s">
        <v>324</v>
      </c>
      <c r="B8" s="12" t="n">
        <f aca="false">COUNTIF(Matriz_trazabilidad!$K$8:$K$59,"—")</f>
        <v>1</v>
      </c>
    </row>
    <row r="9" customFormat="false" ht="15" hidden="false" customHeight="true" outlineLevel="0" collapsed="false">
      <c r="A9" s="11" t="s">
        <v>325</v>
      </c>
      <c r="B9" s="12" t="n">
        <f aca="false">COUNTIFS(Matriz_trazabilidad!$F$8:$F$59,"Must",Matriz_trazabilidad!$H$8:$H$59,"—")</f>
        <v>2</v>
      </c>
    </row>
    <row r="10" customFormat="false" ht="15" hidden="false" customHeight="true" outlineLevel="0" collapsed="false">
      <c r="A10" s="11" t="s">
        <v>326</v>
      </c>
      <c r="B10" s="12" t="n">
        <f aca="false">SUMPRODUCT(1/COUNTIF(Matriz_trazabilidad!$L$8:$L$59,Matriz_trazabilidad!$L$8:$L$59))</f>
        <v>47</v>
      </c>
    </row>
    <row r="12" customFormat="false" ht="15" hidden="false" customHeight="true" outlineLevel="0" collapsed="false">
      <c r="A12" s="13" t="s">
        <v>327</v>
      </c>
      <c r="B12" s="14" t="s">
        <v>328</v>
      </c>
      <c r="C12" s="14"/>
    </row>
    <row r="13" customFormat="false" ht="15" hidden="false" customHeight="true" outlineLevel="0" collapsed="false">
      <c r="B13" s="14"/>
      <c r="C13" s="14"/>
    </row>
    <row r="14" customFormat="false" ht="15" hidden="false" customHeight="true" outlineLevel="0" collapsed="false">
      <c r="B14" s="14"/>
      <c r="C14" s="14"/>
    </row>
    <row r="15" customFormat="false" ht="15" hidden="false" customHeight="true" outlineLevel="0" collapsed="false">
      <c r="B15" s="14"/>
      <c r="C15" s="14"/>
    </row>
  </sheetData>
  <mergeCells count="1">
    <mergeCell ref="B12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2026-08-05T02:10:59Z</dcterms:created>
  <dc:creator>openpyxl</dc:creator>
  <dc:description/>
  <dc:language>en-US</dc:language>
  <cp:lastModifiedBy/>
  <dcterms:modified xsi:type="dcterms:W3CDTF">2026-08-05T02:45:10Z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